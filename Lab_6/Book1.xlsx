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PRE288_F26\Lab_6\"/>
    </mc:Choice>
  </mc:AlternateContent>
  <xr:revisionPtr revIDLastSave="0" documentId="13_ncr:1_{E33884C5-37D8-4DCC-AFD4-CCE6300FCAAD}" xr6:coauthVersionLast="47" xr6:coauthVersionMax="47" xr10:uidLastSave="{00000000-0000-0000-0000-000000000000}"/>
  <bookViews>
    <workbookView xWindow="0" yWindow="4275" windowWidth="21600" windowHeight="12645" firstSheet="1" activeTab="5" xr2:uid="{7E9A04DC-52E0-4390-BE93-DA7A2CA40379}"/>
  </bookViews>
  <sheets>
    <sheet name="p3_data (2)" sheetId="3" r:id="rId1"/>
    <sheet name="p3_data" sheetId="2" r:id="rId2"/>
    <sheet name="Sheet1" sheetId="1" r:id="rId3"/>
    <sheet name="Sheet2" sheetId="4" r:id="rId4"/>
    <sheet name="Sheet3" sheetId="5" r:id="rId5"/>
    <sheet name="Sheet4" sheetId="6" r:id="rId6"/>
  </sheets>
  <definedNames>
    <definedName name="ExternalData_1" localSheetId="0" hidden="1">'p3_data (2)'!$A$1:$C$93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64" i="5" l="1"/>
  <c r="U164" i="5" s="1"/>
  <c r="T162" i="5"/>
  <c r="U162" i="5"/>
  <c r="T160" i="5"/>
  <c r="U160" i="5"/>
  <c r="N35" i="4"/>
  <c r="O35" i="4" s="1"/>
  <c r="P149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I8" i="5" a="1"/>
  <c r="I8" i="5" s="1"/>
  <c r="G8" i="5" a="1"/>
  <c r="G8" i="5" s="1"/>
  <c r="O36" i="4"/>
  <c r="N36" i="4"/>
  <c r="L9" i="1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F3" i="3"/>
  <c r="E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CC925-26DE-46DC-AC19-6FC5712C5F43}" keepAlive="1" name="Query - p3_data" description="Connection to the 'p3_data' query in the workbook." type="5" refreshedVersion="0" background="1">
    <dbPr connection="Provider=Microsoft.Mashup.OleDb.1;Data Source=$Workbook$;Location=p3_data;Extended Properties=&quot;&quot;" command="SELECT * FROM [p3_data]"/>
  </connection>
  <connection id="2" xr16:uid="{BAED1E0E-1EBC-4127-ADE7-19851FDDA307}" keepAlive="1" name="Query - p3_data (2)" description="Connection to the 'p3_data (2)' query in the workbook." type="5" refreshedVersion="8" background="1" saveData="1">
    <dbPr connection="Provider=Microsoft.Mashup.OleDb.1;Data Source=$Workbook$;Location=&quot;p3_data (2)&quot;;Extended Properties=&quot;&quot;" command="SELECT * FROM [p3_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<sst xmlns="http://schemas.openxmlformats.org/spreadsheetml/2006/main" count="200" uniqueCount="106">
  <si>
    <t>Angle</t>
  </si>
  <si>
    <t>Distance</t>
  </si>
  <si>
    <t>IR_Value</t>
  </si>
  <si>
    <t>DIST</t>
  </si>
  <si>
    <t>IR</t>
  </si>
  <si>
    <t>Dist</t>
  </si>
  <si>
    <r>
      <t>116.08e</t>
    </r>
    <r>
      <rPr>
        <vertAlign val="superscript"/>
        <sz val="40"/>
        <color theme="1"/>
        <rFont val="Aptos Narrow"/>
        <family val="2"/>
        <scheme val="minor"/>
      </rPr>
      <t>-9E-04x</t>
    </r>
  </si>
  <si>
    <t>Bot 24</t>
  </si>
  <si>
    <t xml:space="preserve">  </t>
  </si>
  <si>
    <t xml:space="preserve">Lab 7 </t>
  </si>
  <si>
    <t xml:space="preserve">RAW IR </t>
  </si>
  <si>
    <t xml:space="preserve">Actual Dust </t>
  </si>
  <si>
    <t>estimated Dis</t>
  </si>
  <si>
    <t>10 to 50</t>
  </si>
  <si>
    <t>Degrees         Distance (cm)   IR dist</t>
  </si>
  <si>
    <t>0               33.7            136.3</t>
  </si>
  <si>
    <t>2               61.9            136.0</t>
  </si>
  <si>
    <t>4               145.2           135.8</t>
  </si>
  <si>
    <t>6               145.3           111.3</t>
  </si>
  <si>
    <t>8               146.2           115.4</t>
  </si>
  <si>
    <t>10              145.7           138.1</t>
  </si>
  <si>
    <t>12              145.7           137.8</t>
  </si>
  <si>
    <t>14              145.2           137.0</t>
  </si>
  <si>
    <t>16              145.2           136.7</t>
  </si>
  <si>
    <t>18              145.2           136.9</t>
  </si>
  <si>
    <t>20              145.1           137.1</t>
  </si>
  <si>
    <t>22              144.5           137.0</t>
  </si>
  <si>
    <t>24              145.1           133.1</t>
  </si>
  <si>
    <t>26              144.7           126.5</t>
  </si>
  <si>
    <t>28              144.5           122.8</t>
  </si>
  <si>
    <t>30              65.6            124.2</t>
  </si>
  <si>
    <t>32              65.0            128.5</t>
  </si>
  <si>
    <t>34              63.7            133.3</t>
  </si>
  <si>
    <t>36              63.6            135.7</t>
  </si>
  <si>
    <t>38              63.1            135.5</t>
  </si>
  <si>
    <t>40              63.0            136.3</t>
  </si>
  <si>
    <t>42              62.6            136.3</t>
  </si>
  <si>
    <t>44              62.5            136.3</t>
  </si>
  <si>
    <t>46              62.0            136.3</t>
  </si>
  <si>
    <t>48              62.0            135.2</t>
  </si>
  <si>
    <t>50              62.0            134.5</t>
  </si>
  <si>
    <t>52              62.0            65.8</t>
  </si>
  <si>
    <t>54              62.0            64.1</t>
  </si>
  <si>
    <t>56              61.9            63.9</t>
  </si>
  <si>
    <t>58              61.9            67.4</t>
  </si>
  <si>
    <t>60              61.9            68.8</t>
  </si>
  <si>
    <t>62              61.5            69.4</t>
  </si>
  <si>
    <t>64              61.9            68.3</t>
  </si>
  <si>
    <t>66              62.0            63.4</t>
  </si>
  <si>
    <t>68              62.0            58.6</t>
  </si>
  <si>
    <t>70              62.0            133.1</t>
  </si>
  <si>
    <t>72              62.0            135.4</t>
  </si>
  <si>
    <t>74              62.5            136.7</t>
  </si>
  <si>
    <t>76              62.5            136.1</t>
  </si>
  <si>
    <t>78              62.6            135.6</t>
  </si>
  <si>
    <t>80              63.0            136.3</t>
  </si>
  <si>
    <t>82              63.1            137.2</t>
  </si>
  <si>
    <t>84              64.0            136.4</t>
  </si>
  <si>
    <t>86              64.1            136.0</t>
  </si>
  <si>
    <t>88              65.0            136.3</t>
  </si>
  <si>
    <t>90              314.8           129.6</t>
  </si>
  <si>
    <t>92              273.2           120.8</t>
  </si>
  <si>
    <t>94              311.8           131.9</t>
  </si>
  <si>
    <t>96              288.6           135.5</t>
  </si>
  <si>
    <t>98              313.9           135.7</t>
  </si>
  <si>
    <t>100             294.5           135.5</t>
  </si>
  <si>
    <t>102             293.5           136.0</t>
  </si>
  <si>
    <t>104             294.4           135.8</t>
  </si>
  <si>
    <t>106             293.9           135.5</t>
  </si>
  <si>
    <t>108             279.3           135.6</t>
  </si>
  <si>
    <t>110             233.8           136.6</t>
  </si>
  <si>
    <t>112             232.2           137.1</t>
  </si>
  <si>
    <t>114             235.3           136.7</t>
  </si>
  <si>
    <t>116             34.1            136.9</t>
  </si>
  <si>
    <t>118             33.6            135.9</t>
  </si>
  <si>
    <t>120             33.6            135.6</t>
  </si>
  <si>
    <t>122             32.6            135.4</t>
  </si>
  <si>
    <t>124             32.6            128.4</t>
  </si>
  <si>
    <t>126             32.1            125.7</t>
  </si>
  <si>
    <t>128             32.1            130.6</t>
  </si>
  <si>
    <t>130             32.1            35.5</t>
  </si>
  <si>
    <t>132             32.1            35.6</t>
  </si>
  <si>
    <t>134             32.1            36.8</t>
  </si>
  <si>
    <t>136             32.1            35.2</t>
  </si>
  <si>
    <t>138             32.1            36.7</t>
  </si>
  <si>
    <t>140             32.1            39.7</t>
  </si>
  <si>
    <t>142             32.1            67.2</t>
  </si>
  <si>
    <t>144             32.5            106.4</t>
  </si>
  <si>
    <t>146             32.1            135.3</t>
  </si>
  <si>
    <t>148             32.5            127.8</t>
  </si>
  <si>
    <t>150             32.6            126.4</t>
  </si>
  <si>
    <t>152             33.1            132.1</t>
  </si>
  <si>
    <t>154             33.1            99.8</t>
  </si>
  <si>
    <t>156             33.7            96.9</t>
  </si>
  <si>
    <t>158             137.9           96.7</t>
  </si>
  <si>
    <t>160             138.3           97.5</t>
  </si>
  <si>
    <t>162             138.3           97.8</t>
  </si>
  <si>
    <t>164             137.9           97.2</t>
  </si>
  <si>
    <t>166             138.3           96.6</t>
  </si>
  <si>
    <t>168             138.4           96.8</t>
  </si>
  <si>
    <t>170             138.4           91.4</t>
  </si>
  <si>
    <t>172             139.3           88.5</t>
  </si>
  <si>
    <t>174             139.4           92.7</t>
  </si>
  <si>
    <t>176             140.8           90.4</t>
  </si>
  <si>
    <t>178             168.2           85.1</t>
  </si>
  <si>
    <t>180             142.3           83.4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</si>
</sst>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40"/>
      <color theme="1"/>
      <name val="Aptos Narrow"/>
      <family val="2"/>
      <scheme val="minor"/>
    </font>
    <font>
      <vertAlign val="superscript"/>
      <sz val="4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'p3_data (2)'!$E$3:$E$93</c:f>
              <c:numCache>
                <c:formatCode>General</c:formatCode>
                <c:ptCount val="91"/>
                <c:pt idx="0">
                  <c:v>1235</c:v>
                </c:pt>
                <c:pt idx="1">
                  <c:v>825</c:v>
                </c:pt>
                <c:pt idx="2">
                  <c:v>555</c:v>
                </c:pt>
                <c:pt idx="3">
                  <c:v>595</c:v>
                </c:pt>
                <c:pt idx="4">
                  <c:v>619</c:v>
                </c:pt>
                <c:pt idx="5">
                  <c:v>615</c:v>
                </c:pt>
                <c:pt idx="6">
                  <c:v>664</c:v>
                </c:pt>
                <c:pt idx="7">
                  <c:v>601</c:v>
                </c:pt>
                <c:pt idx="8">
                  <c:v>639</c:v>
                </c:pt>
                <c:pt idx="9">
                  <c:v>655</c:v>
                </c:pt>
                <c:pt idx="10">
                  <c:v>587</c:v>
                </c:pt>
                <c:pt idx="11">
                  <c:v>579</c:v>
                </c:pt>
                <c:pt idx="12">
                  <c:v>571</c:v>
                </c:pt>
                <c:pt idx="13">
                  <c:v>611</c:v>
                </c:pt>
                <c:pt idx="14">
                  <c:v>857</c:v>
                </c:pt>
                <c:pt idx="15">
                  <c:v>1290</c:v>
                </c:pt>
                <c:pt idx="16">
                  <c:v>1225</c:v>
                </c:pt>
                <c:pt idx="17">
                  <c:v>1251</c:v>
                </c:pt>
                <c:pt idx="18">
                  <c:v>1229</c:v>
                </c:pt>
                <c:pt idx="19">
                  <c:v>1173</c:v>
                </c:pt>
                <c:pt idx="20">
                  <c:v>951</c:v>
                </c:pt>
                <c:pt idx="21">
                  <c:v>633</c:v>
                </c:pt>
                <c:pt idx="22">
                  <c:v>595</c:v>
                </c:pt>
                <c:pt idx="23">
                  <c:v>599</c:v>
                </c:pt>
                <c:pt idx="24">
                  <c:v>561</c:v>
                </c:pt>
                <c:pt idx="25">
                  <c:v>555</c:v>
                </c:pt>
                <c:pt idx="26">
                  <c:v>707</c:v>
                </c:pt>
                <c:pt idx="27">
                  <c:v>553</c:v>
                </c:pt>
                <c:pt idx="28">
                  <c:v>543</c:v>
                </c:pt>
                <c:pt idx="29">
                  <c:v>545</c:v>
                </c:pt>
                <c:pt idx="30">
                  <c:v>579</c:v>
                </c:pt>
                <c:pt idx="31">
                  <c:v>547</c:v>
                </c:pt>
                <c:pt idx="32">
                  <c:v>583</c:v>
                </c:pt>
                <c:pt idx="33">
                  <c:v>679</c:v>
                </c:pt>
                <c:pt idx="34">
                  <c:v>743</c:v>
                </c:pt>
                <c:pt idx="35">
                  <c:v>731</c:v>
                </c:pt>
                <c:pt idx="36">
                  <c:v>743</c:v>
                </c:pt>
                <c:pt idx="37">
                  <c:v>755</c:v>
                </c:pt>
                <c:pt idx="38">
                  <c:v>951</c:v>
                </c:pt>
                <c:pt idx="39">
                  <c:v>807</c:v>
                </c:pt>
                <c:pt idx="40">
                  <c:v>795</c:v>
                </c:pt>
                <c:pt idx="41">
                  <c:v>817</c:v>
                </c:pt>
                <c:pt idx="42">
                  <c:v>823</c:v>
                </c:pt>
                <c:pt idx="43">
                  <c:v>859</c:v>
                </c:pt>
                <c:pt idx="44">
                  <c:v>1059</c:v>
                </c:pt>
                <c:pt idx="45">
                  <c:v>1079</c:v>
                </c:pt>
                <c:pt idx="46">
                  <c:v>1073</c:v>
                </c:pt>
                <c:pt idx="47">
                  <c:v>1099</c:v>
                </c:pt>
                <c:pt idx="48">
                  <c:v>1067</c:v>
                </c:pt>
                <c:pt idx="49">
                  <c:v>893</c:v>
                </c:pt>
                <c:pt idx="50">
                  <c:v>837</c:v>
                </c:pt>
                <c:pt idx="51">
                  <c:v>813</c:v>
                </c:pt>
                <c:pt idx="52">
                  <c:v>811</c:v>
                </c:pt>
                <c:pt idx="53">
                  <c:v>955</c:v>
                </c:pt>
                <c:pt idx="54">
                  <c:v>803</c:v>
                </c:pt>
                <c:pt idx="55">
                  <c:v>763</c:v>
                </c:pt>
                <c:pt idx="56">
                  <c:v>741</c:v>
                </c:pt>
                <c:pt idx="57">
                  <c:v>675</c:v>
                </c:pt>
                <c:pt idx="58">
                  <c:v>577</c:v>
                </c:pt>
                <c:pt idx="59">
                  <c:v>695</c:v>
                </c:pt>
                <c:pt idx="60">
                  <c:v>713</c:v>
                </c:pt>
                <c:pt idx="61">
                  <c:v>721</c:v>
                </c:pt>
                <c:pt idx="62">
                  <c:v>715</c:v>
                </c:pt>
                <c:pt idx="63">
                  <c:v>685</c:v>
                </c:pt>
                <c:pt idx="64">
                  <c:v>649</c:v>
                </c:pt>
                <c:pt idx="65">
                  <c:v>633</c:v>
                </c:pt>
                <c:pt idx="66">
                  <c:v>653</c:v>
                </c:pt>
                <c:pt idx="67">
                  <c:v>647</c:v>
                </c:pt>
                <c:pt idx="68">
                  <c:v>633</c:v>
                </c:pt>
                <c:pt idx="69">
                  <c:v>627</c:v>
                </c:pt>
                <c:pt idx="70">
                  <c:v>651</c:v>
                </c:pt>
                <c:pt idx="71">
                  <c:v>927</c:v>
                </c:pt>
                <c:pt idx="72">
                  <c:v>1135</c:v>
                </c:pt>
                <c:pt idx="73">
                  <c:v>1183</c:v>
                </c:pt>
                <c:pt idx="74">
                  <c:v>1189</c:v>
                </c:pt>
                <c:pt idx="75">
                  <c:v>1191</c:v>
                </c:pt>
                <c:pt idx="76">
                  <c:v>1213</c:v>
                </c:pt>
                <c:pt idx="77">
                  <c:v>1171</c:v>
                </c:pt>
                <c:pt idx="78">
                  <c:v>847</c:v>
                </c:pt>
                <c:pt idx="79">
                  <c:v>667</c:v>
                </c:pt>
                <c:pt idx="80">
                  <c:v>586</c:v>
                </c:pt>
                <c:pt idx="81">
                  <c:v>607</c:v>
                </c:pt>
                <c:pt idx="82">
                  <c:v>603</c:v>
                </c:pt>
                <c:pt idx="83">
                  <c:v>627</c:v>
                </c:pt>
                <c:pt idx="84">
                  <c:v>605</c:v>
                </c:pt>
                <c:pt idx="85">
                  <c:v>591</c:v>
                </c:pt>
                <c:pt idx="86">
                  <c:v>555</c:v>
                </c:pt>
                <c:pt idx="87">
                  <c:v>537</c:v>
                </c:pt>
                <c:pt idx="88">
                  <c:v>538</c:v>
                </c:pt>
                <c:pt idx="89">
                  <c:v>537</c:v>
                </c:pt>
                <c:pt idx="90">
                  <c:v>539</c:v>
                </c:pt>
              </c:numCache>
            </c:numRef>
          </c:xVal>
          <c:yVal>
            <c:numRef>
              <c:f>'p3_data (2)'!$F$3:$F$93</c:f>
              <c:numCache>
                <c:formatCode>General</c:formatCode>
                <c:ptCount val="91"/>
                <c:pt idx="0">
                  <c:v>313.7</c:v>
                </c:pt>
                <c:pt idx="1">
                  <c:v>313.7</c:v>
                </c:pt>
                <c:pt idx="2">
                  <c:v>144.4</c:v>
                </c:pt>
                <c:pt idx="3">
                  <c:v>241.2</c:v>
                </c:pt>
                <c:pt idx="4">
                  <c:v>240.4</c:v>
                </c:pt>
                <c:pt idx="5">
                  <c:v>240.9</c:v>
                </c:pt>
                <c:pt idx="6">
                  <c:v>241</c:v>
                </c:pt>
                <c:pt idx="7">
                  <c:v>241.5</c:v>
                </c:pt>
                <c:pt idx="8">
                  <c:v>241.9</c:v>
                </c:pt>
                <c:pt idx="9">
                  <c:v>241.4</c:v>
                </c:pt>
                <c:pt idx="10">
                  <c:v>313.8</c:v>
                </c:pt>
                <c:pt idx="11">
                  <c:v>313.89999999999998</c:v>
                </c:pt>
                <c:pt idx="12">
                  <c:v>313.8</c:v>
                </c:pt>
                <c:pt idx="13">
                  <c:v>43</c:v>
                </c:pt>
                <c:pt idx="14">
                  <c:v>43.1</c:v>
                </c:pt>
                <c:pt idx="15">
                  <c:v>42.7</c:v>
                </c:pt>
                <c:pt idx="16">
                  <c:v>42.7</c:v>
                </c:pt>
                <c:pt idx="17">
                  <c:v>42.7</c:v>
                </c:pt>
                <c:pt idx="18">
                  <c:v>43.1</c:v>
                </c:pt>
                <c:pt idx="19">
                  <c:v>43.1</c:v>
                </c:pt>
                <c:pt idx="20">
                  <c:v>43.6</c:v>
                </c:pt>
                <c:pt idx="21">
                  <c:v>185.8</c:v>
                </c:pt>
                <c:pt idx="22">
                  <c:v>185.9</c:v>
                </c:pt>
                <c:pt idx="23">
                  <c:v>186.5</c:v>
                </c:pt>
                <c:pt idx="24">
                  <c:v>313.60000000000002</c:v>
                </c:pt>
                <c:pt idx="25">
                  <c:v>313.8</c:v>
                </c:pt>
                <c:pt idx="26">
                  <c:v>144.6</c:v>
                </c:pt>
                <c:pt idx="27">
                  <c:v>144.4</c:v>
                </c:pt>
                <c:pt idx="28">
                  <c:v>143.5</c:v>
                </c:pt>
                <c:pt idx="29">
                  <c:v>143.6</c:v>
                </c:pt>
                <c:pt idx="30">
                  <c:v>143.5</c:v>
                </c:pt>
                <c:pt idx="31">
                  <c:v>143.5</c:v>
                </c:pt>
                <c:pt idx="32">
                  <c:v>143.5</c:v>
                </c:pt>
                <c:pt idx="33">
                  <c:v>143.5</c:v>
                </c:pt>
                <c:pt idx="34">
                  <c:v>143.5</c:v>
                </c:pt>
                <c:pt idx="35">
                  <c:v>144</c:v>
                </c:pt>
                <c:pt idx="36">
                  <c:v>144.9</c:v>
                </c:pt>
                <c:pt idx="37">
                  <c:v>145.80000000000001</c:v>
                </c:pt>
                <c:pt idx="38">
                  <c:v>314</c:v>
                </c:pt>
                <c:pt idx="39">
                  <c:v>313.89999999999998</c:v>
                </c:pt>
                <c:pt idx="40">
                  <c:v>55.4</c:v>
                </c:pt>
                <c:pt idx="41">
                  <c:v>54</c:v>
                </c:pt>
                <c:pt idx="42">
                  <c:v>53.9</c:v>
                </c:pt>
                <c:pt idx="43">
                  <c:v>53.5</c:v>
                </c:pt>
                <c:pt idx="44">
                  <c:v>53.5</c:v>
                </c:pt>
                <c:pt idx="45">
                  <c:v>53.5</c:v>
                </c:pt>
                <c:pt idx="46">
                  <c:v>53.5</c:v>
                </c:pt>
                <c:pt idx="47">
                  <c:v>53.5</c:v>
                </c:pt>
                <c:pt idx="48">
                  <c:v>53.5</c:v>
                </c:pt>
                <c:pt idx="49">
                  <c:v>53.9</c:v>
                </c:pt>
                <c:pt idx="50">
                  <c:v>53.9</c:v>
                </c:pt>
                <c:pt idx="51">
                  <c:v>54.8</c:v>
                </c:pt>
                <c:pt idx="52">
                  <c:v>313.89999999999998</c:v>
                </c:pt>
                <c:pt idx="53">
                  <c:v>313.89999999999998</c:v>
                </c:pt>
                <c:pt idx="54">
                  <c:v>313.8</c:v>
                </c:pt>
                <c:pt idx="55">
                  <c:v>313.8</c:v>
                </c:pt>
                <c:pt idx="56">
                  <c:v>313.7</c:v>
                </c:pt>
                <c:pt idx="57">
                  <c:v>313.60000000000002</c:v>
                </c:pt>
                <c:pt idx="58">
                  <c:v>313.60000000000002</c:v>
                </c:pt>
                <c:pt idx="59">
                  <c:v>313.60000000000002</c:v>
                </c:pt>
                <c:pt idx="60">
                  <c:v>313.89999999999998</c:v>
                </c:pt>
                <c:pt idx="61">
                  <c:v>313.89999999999998</c:v>
                </c:pt>
                <c:pt idx="62">
                  <c:v>313.8</c:v>
                </c:pt>
                <c:pt idx="63">
                  <c:v>313.7</c:v>
                </c:pt>
                <c:pt idx="64">
                  <c:v>314</c:v>
                </c:pt>
                <c:pt idx="65">
                  <c:v>313.89999999999998</c:v>
                </c:pt>
                <c:pt idx="66">
                  <c:v>313.89999999999998</c:v>
                </c:pt>
                <c:pt idx="67">
                  <c:v>313.89999999999998</c:v>
                </c:pt>
                <c:pt idx="68">
                  <c:v>47.9</c:v>
                </c:pt>
                <c:pt idx="69">
                  <c:v>47.5</c:v>
                </c:pt>
                <c:pt idx="70">
                  <c:v>47.1</c:v>
                </c:pt>
                <c:pt idx="71">
                  <c:v>47.1</c:v>
                </c:pt>
                <c:pt idx="72">
                  <c:v>47.4</c:v>
                </c:pt>
                <c:pt idx="73">
                  <c:v>47.9</c:v>
                </c:pt>
                <c:pt idx="74">
                  <c:v>49.1</c:v>
                </c:pt>
                <c:pt idx="75">
                  <c:v>313.89999999999998</c:v>
                </c:pt>
                <c:pt idx="76">
                  <c:v>313.89999999999998</c:v>
                </c:pt>
                <c:pt idx="77">
                  <c:v>313.89999999999998</c:v>
                </c:pt>
                <c:pt idx="78">
                  <c:v>313.89999999999998</c:v>
                </c:pt>
                <c:pt idx="79">
                  <c:v>313.89999999999998</c:v>
                </c:pt>
                <c:pt idx="80">
                  <c:v>313.89999999999998</c:v>
                </c:pt>
                <c:pt idx="81">
                  <c:v>313.89999999999998</c:v>
                </c:pt>
                <c:pt idx="82">
                  <c:v>313.7</c:v>
                </c:pt>
                <c:pt idx="83">
                  <c:v>313.8</c:v>
                </c:pt>
                <c:pt idx="84">
                  <c:v>313.7</c:v>
                </c:pt>
                <c:pt idx="85">
                  <c:v>313.8</c:v>
                </c:pt>
                <c:pt idx="86">
                  <c:v>313.60000000000002</c:v>
                </c:pt>
                <c:pt idx="87">
                  <c:v>313.60000000000002</c:v>
                </c:pt>
                <c:pt idx="88">
                  <c:v>313.60000000000002</c:v>
                </c:pt>
                <c:pt idx="89">
                  <c:v>313.7</c:v>
                </c:pt>
                <c:pt idx="90">
                  <c:v>313.8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B-43E3-A6A0-AA208B7F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311136"/>
        <c:axId val="461311616"/>
      </c:scatterChart>
      <c:valAx>
        <c:axId val="4613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11616"/>
        <c:crosses val="autoZero"/>
        <c:crossBetween val="midCat"/>
      </c:valAx>
      <c:valAx>
        <c:axId val="4613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1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p3_data!$A$2:$A$93</c:f>
              <c:numCache>
                <c:formatCode>General</c:formatCode>
                <c:ptCount val="92"/>
              </c:numCache>
            </c:numRef>
          </c:xVal>
          <c:yVal>
            <c:numRef>
              <c:f>p3_data!$B$2:$B$93</c:f>
              <c:numCache>
                <c:formatCode>General</c:formatCode>
                <c:ptCount val="9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6-4C57-90A0-C1473C08C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92976"/>
        <c:axId val="213205920"/>
      </c:scatterChart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p3_data!$A$2:$A$93</c:f>
              <c:numCache>
                <c:formatCode>General</c:formatCode>
                <c:ptCount val="92"/>
              </c:numCache>
            </c:numRef>
          </c:xVal>
          <c:yVal>
            <c:numRef>
              <c:f>p3_data!$C$2:$C$93</c:f>
              <c:numCache>
                <c:formatCode>General</c:formatCode>
                <c:ptCount val="9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76-4C57-90A0-C1473C08C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3248"/>
        <c:axId val="282114656"/>
      </c:scatterChart>
      <c:valAx>
        <c:axId val="4079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05920"/>
        <c:crosses val="autoZero"/>
        <c:crossBetween val="midCat"/>
      </c:valAx>
      <c:valAx>
        <c:axId val="2132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2976"/>
        <c:crosses val="autoZero"/>
        <c:crossBetween val="midCat"/>
      </c:valAx>
      <c:valAx>
        <c:axId val="2821146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3248"/>
        <c:crosses val="max"/>
        <c:crossBetween val="midCat"/>
      </c:valAx>
      <c:valAx>
        <c:axId val="3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211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Sheet1!$D$3:$D$12</c:f>
              <c:numCache>
                <c:formatCode>General</c:formatCode>
                <c:ptCount val="10"/>
                <c:pt idx="0">
                  <c:v>10.3</c:v>
                </c:pt>
                <c:pt idx="1">
                  <c:v>13.4</c:v>
                </c:pt>
                <c:pt idx="2">
                  <c:v>17.8</c:v>
                </c:pt>
                <c:pt idx="3">
                  <c:v>22.1</c:v>
                </c:pt>
                <c:pt idx="4">
                  <c:v>25.9</c:v>
                </c:pt>
                <c:pt idx="5">
                  <c:v>30.8</c:v>
                </c:pt>
                <c:pt idx="6">
                  <c:v>35.4</c:v>
                </c:pt>
                <c:pt idx="7">
                  <c:v>39.299999999999997</c:v>
                </c:pt>
                <c:pt idx="8">
                  <c:v>43.7</c:v>
                </c:pt>
                <c:pt idx="9">
                  <c:v>47.2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2979</c:v>
                </c:pt>
                <c:pt idx="1">
                  <c:v>2453</c:v>
                </c:pt>
                <c:pt idx="2">
                  <c:v>2047</c:v>
                </c:pt>
                <c:pt idx="3">
                  <c:v>1751</c:v>
                </c:pt>
                <c:pt idx="4">
                  <c:v>1571</c:v>
                </c:pt>
                <c:pt idx="5">
                  <c:v>1377</c:v>
                </c:pt>
                <c:pt idx="6">
                  <c:v>1307</c:v>
                </c:pt>
                <c:pt idx="7">
                  <c:v>1197</c:v>
                </c:pt>
                <c:pt idx="8">
                  <c:v>1127</c:v>
                </c:pt>
                <c:pt idx="9">
                  <c:v>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B-4D49-A47C-1079DFF57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7071"/>
        <c:axId val="11981455"/>
      </c:scatterChart>
      <c:valAx>
        <c:axId val="791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455"/>
        <c:crosses val="autoZero"/>
        <c:crossBetween val="midCat"/>
      </c:valAx>
      <c:valAx>
        <c:axId val="119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9.7910675276019946E-2"/>
                  <c:y val="1.332655998645330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999059492563431"/>
                  <c:y val="-0.669667541557305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Sheet1!$C$3:$C$12</c:f>
              <c:numCache>
                <c:formatCode>General</c:formatCode>
                <c:ptCount val="10"/>
                <c:pt idx="0">
                  <c:v>2979</c:v>
                </c:pt>
                <c:pt idx="1">
                  <c:v>2453</c:v>
                </c:pt>
                <c:pt idx="2">
                  <c:v>2047</c:v>
                </c:pt>
                <c:pt idx="3">
                  <c:v>1751</c:v>
                </c:pt>
                <c:pt idx="4">
                  <c:v>1571</c:v>
                </c:pt>
                <c:pt idx="5">
                  <c:v>1377</c:v>
                </c:pt>
                <c:pt idx="6">
                  <c:v>1307</c:v>
                </c:pt>
                <c:pt idx="7">
                  <c:v>1197</c:v>
                </c:pt>
                <c:pt idx="8">
                  <c:v>1127</c:v>
                </c:pt>
                <c:pt idx="9">
                  <c:v>1097</c:v>
                </c:pt>
              </c:numCache>
            </c:num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10.3</c:v>
                </c:pt>
                <c:pt idx="1">
                  <c:v>13.4</c:v>
                </c:pt>
                <c:pt idx="2">
                  <c:v>17.8</c:v>
                </c:pt>
                <c:pt idx="3">
                  <c:v>22.1</c:v>
                </c:pt>
                <c:pt idx="4">
                  <c:v>25.9</c:v>
                </c:pt>
                <c:pt idx="5">
                  <c:v>30.8</c:v>
                </c:pt>
                <c:pt idx="6">
                  <c:v>35.4</c:v>
                </c:pt>
                <c:pt idx="7">
                  <c:v>39.299999999999997</c:v>
                </c:pt>
                <c:pt idx="8">
                  <c:v>43.7</c:v>
                </c:pt>
                <c:pt idx="9">
                  <c:v>47.2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3-474A-8207-8409D962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7167"/>
        <c:axId val="12206207"/>
      </c:scatterChart>
      <c:valAx>
        <c:axId val="1220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207"/>
        <c:crosses val="autoZero"/>
        <c:crossBetween val="midCat"/>
      </c:valAx>
      <c:valAx>
        <c:axId val="1220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7642857469895337"/>
                  <c:y val="-0.35527499271047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1.04659776439615E-2"/>
                  <c:y val="-0.289728085801965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Sheet2!$A$2:$A$21</c:f>
              <c:numCache>
                <c:formatCode>General</c:formatCode>
                <c:ptCount val="20"/>
                <c:pt idx="0">
                  <c:v>3086</c:v>
                </c:pt>
                <c:pt idx="1">
                  <c:v>2437</c:v>
                </c:pt>
                <c:pt idx="2">
                  <c:v>2121</c:v>
                </c:pt>
                <c:pt idx="3">
                  <c:v>1974</c:v>
                </c:pt>
                <c:pt idx="4">
                  <c:v>1821</c:v>
                </c:pt>
                <c:pt idx="5">
                  <c:v>1645</c:v>
                </c:pt>
                <c:pt idx="6">
                  <c:v>1503</c:v>
                </c:pt>
                <c:pt idx="7">
                  <c:v>1433</c:v>
                </c:pt>
                <c:pt idx="8">
                  <c:v>1343</c:v>
                </c:pt>
                <c:pt idx="9">
                  <c:v>1327</c:v>
                </c:pt>
                <c:pt idx="10">
                  <c:v>1207</c:v>
                </c:pt>
                <c:pt idx="11">
                  <c:v>1199</c:v>
                </c:pt>
                <c:pt idx="12">
                  <c:v>1141</c:v>
                </c:pt>
                <c:pt idx="13">
                  <c:v>1135</c:v>
                </c:pt>
                <c:pt idx="14">
                  <c:v>1095</c:v>
                </c:pt>
                <c:pt idx="15">
                  <c:v>1048</c:v>
                </c:pt>
                <c:pt idx="16">
                  <c:v>1700</c:v>
                </c:pt>
                <c:pt idx="17">
                  <c:v>1529</c:v>
                </c:pt>
                <c:pt idx="18">
                  <c:v>1379</c:v>
                </c:pt>
                <c:pt idx="19">
                  <c:v>1311</c:v>
                </c:pt>
              </c:numCache>
            </c:numRef>
          </c:xVal>
          <c:yVal>
            <c:numRef>
              <c:f>Sheet2!$B$2:$B$21</c:f>
              <c:numCache>
                <c:formatCode>General</c:formatCode>
                <c:ptCount val="20"/>
                <c:pt idx="0">
                  <c:v>9.4689999999999994</c:v>
                </c:pt>
                <c:pt idx="1">
                  <c:v>12.69</c:v>
                </c:pt>
                <c:pt idx="2">
                  <c:v>15.39</c:v>
                </c:pt>
                <c:pt idx="3">
                  <c:v>17.89</c:v>
                </c:pt>
                <c:pt idx="4">
                  <c:v>19.989999999999998</c:v>
                </c:pt>
                <c:pt idx="5">
                  <c:v>23.29</c:v>
                </c:pt>
                <c:pt idx="6">
                  <c:v>26.89</c:v>
                </c:pt>
                <c:pt idx="7">
                  <c:v>28.39</c:v>
                </c:pt>
                <c:pt idx="8">
                  <c:v>31.39</c:v>
                </c:pt>
                <c:pt idx="9">
                  <c:v>35.39</c:v>
                </c:pt>
                <c:pt idx="10">
                  <c:v>38.69</c:v>
                </c:pt>
                <c:pt idx="11">
                  <c:v>40.090000000000003</c:v>
                </c:pt>
                <c:pt idx="12">
                  <c:v>42.49</c:v>
                </c:pt>
                <c:pt idx="13">
                  <c:v>44.59</c:v>
                </c:pt>
                <c:pt idx="14">
                  <c:v>48.19</c:v>
                </c:pt>
                <c:pt idx="15">
                  <c:v>51.89</c:v>
                </c:pt>
                <c:pt idx="16">
                  <c:v>23.29</c:v>
                </c:pt>
                <c:pt idx="17">
                  <c:v>26.49</c:v>
                </c:pt>
                <c:pt idx="18">
                  <c:v>30.19</c:v>
                </c:pt>
                <c:pt idx="19">
                  <c:v>33.89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3-4E7F-97A8-8839AD64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79039"/>
        <c:axId val="699079519"/>
      </c:scatterChart>
      <c:valAx>
        <c:axId val="6990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9519"/>
        <c:crosses val="autoZero"/>
        <c:crossBetween val="midCat"/>
      </c:valAx>
      <c:valAx>
        <c:axId val="6990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Sheet3!$M$10</c:f>
              <c:strCache>
                <c:ptCount val="1"/>
                <c:pt idx="0">
                  <c:v>Dist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7356523550075435E-2"/>
                  <c:y val="-0.621349576594401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4000" baseline="0"/>
                      <a:t>y = 116.08e</a:t>
                    </a:r>
                    <a:r>
                      <a:rPr lang="en-US" sz="4000" baseline="30000"/>
                      <a:t>-9E-04x</a:t>
                    </a:r>
                    <a:endParaRPr lang="en-US" sz="4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Sheet3!$L$11:$L$148</c:f>
              <c:numCache>
                <c:formatCode>General</c:formatCode>
                <c:ptCount val="138"/>
                <c:pt idx="0">
                  <c:v>2796</c:v>
                </c:pt>
                <c:pt idx="1">
                  <c:v>3298.25</c:v>
                </c:pt>
                <c:pt idx="2">
                  <c:v>2983</c:v>
                </c:pt>
                <c:pt idx="3">
                  <c:v>2715</c:v>
                </c:pt>
                <c:pt idx="4">
                  <c:v>2565</c:v>
                </c:pt>
                <c:pt idx="5">
                  <c:v>2493</c:v>
                </c:pt>
                <c:pt idx="6">
                  <c:v>2378</c:v>
                </c:pt>
                <c:pt idx="7">
                  <c:v>2317</c:v>
                </c:pt>
                <c:pt idx="8">
                  <c:v>2170</c:v>
                </c:pt>
                <c:pt idx="9">
                  <c:v>2154</c:v>
                </c:pt>
                <c:pt idx="10">
                  <c:v>1977.5</c:v>
                </c:pt>
                <c:pt idx="11">
                  <c:v>1910</c:v>
                </c:pt>
                <c:pt idx="12">
                  <c:v>1889</c:v>
                </c:pt>
                <c:pt idx="13">
                  <c:v>1805</c:v>
                </c:pt>
                <c:pt idx="14">
                  <c:v>1482</c:v>
                </c:pt>
                <c:pt idx="15">
                  <c:v>1384</c:v>
                </c:pt>
                <c:pt idx="16">
                  <c:v>1331.5</c:v>
                </c:pt>
                <c:pt idx="17">
                  <c:v>1302</c:v>
                </c:pt>
                <c:pt idx="18">
                  <c:v>1266</c:v>
                </c:pt>
                <c:pt idx="19">
                  <c:v>1273</c:v>
                </c:pt>
                <c:pt idx="20">
                  <c:v>1247</c:v>
                </c:pt>
                <c:pt idx="21">
                  <c:v>1252</c:v>
                </c:pt>
                <c:pt idx="22">
                  <c:v>1252.5</c:v>
                </c:pt>
                <c:pt idx="23">
                  <c:v>1238</c:v>
                </c:pt>
                <c:pt idx="24">
                  <c:v>1231</c:v>
                </c:pt>
                <c:pt idx="25">
                  <c:v>2989</c:v>
                </c:pt>
                <c:pt idx="26">
                  <c:v>2986</c:v>
                </c:pt>
                <c:pt idx="27">
                  <c:v>3043</c:v>
                </c:pt>
                <c:pt idx="28">
                  <c:v>2857</c:v>
                </c:pt>
                <c:pt idx="29">
                  <c:v>2489</c:v>
                </c:pt>
                <c:pt idx="30">
                  <c:v>2632</c:v>
                </c:pt>
                <c:pt idx="31">
                  <c:v>2427</c:v>
                </c:pt>
                <c:pt idx="32">
                  <c:v>2487</c:v>
                </c:pt>
                <c:pt idx="33">
                  <c:v>2190</c:v>
                </c:pt>
                <c:pt idx="34">
                  <c:v>2285</c:v>
                </c:pt>
                <c:pt idx="35">
                  <c:v>2203</c:v>
                </c:pt>
                <c:pt idx="36">
                  <c:v>2111</c:v>
                </c:pt>
                <c:pt idx="37">
                  <c:v>2069</c:v>
                </c:pt>
                <c:pt idx="38">
                  <c:v>1973</c:v>
                </c:pt>
                <c:pt idx="39">
                  <c:v>2025</c:v>
                </c:pt>
                <c:pt idx="40">
                  <c:v>1983</c:v>
                </c:pt>
                <c:pt idx="41">
                  <c:v>1899</c:v>
                </c:pt>
                <c:pt idx="42">
                  <c:v>2075</c:v>
                </c:pt>
                <c:pt idx="43">
                  <c:v>1867</c:v>
                </c:pt>
                <c:pt idx="44">
                  <c:v>1810</c:v>
                </c:pt>
                <c:pt idx="45">
                  <c:v>1875</c:v>
                </c:pt>
                <c:pt idx="46">
                  <c:v>1817</c:v>
                </c:pt>
                <c:pt idx="47">
                  <c:v>1977</c:v>
                </c:pt>
                <c:pt idx="48">
                  <c:v>1817</c:v>
                </c:pt>
                <c:pt idx="49">
                  <c:v>1759</c:v>
                </c:pt>
                <c:pt idx="50">
                  <c:v>1771</c:v>
                </c:pt>
                <c:pt idx="51">
                  <c:v>1721</c:v>
                </c:pt>
                <c:pt idx="52">
                  <c:v>1720</c:v>
                </c:pt>
                <c:pt idx="53">
                  <c:v>1747</c:v>
                </c:pt>
                <c:pt idx="54">
                  <c:v>1749</c:v>
                </c:pt>
                <c:pt idx="55">
                  <c:v>1695</c:v>
                </c:pt>
                <c:pt idx="56">
                  <c:v>1693</c:v>
                </c:pt>
                <c:pt idx="57">
                  <c:v>1669</c:v>
                </c:pt>
                <c:pt idx="58">
                  <c:v>1651</c:v>
                </c:pt>
                <c:pt idx="59">
                  <c:v>1655</c:v>
                </c:pt>
                <c:pt idx="60">
                  <c:v>1675</c:v>
                </c:pt>
                <c:pt idx="61">
                  <c:v>1647</c:v>
                </c:pt>
                <c:pt idx="62">
                  <c:v>1605</c:v>
                </c:pt>
                <c:pt idx="63">
                  <c:v>1595</c:v>
                </c:pt>
                <c:pt idx="64">
                  <c:v>1750</c:v>
                </c:pt>
                <c:pt idx="65">
                  <c:v>1585</c:v>
                </c:pt>
                <c:pt idx="66">
                  <c:v>1607</c:v>
                </c:pt>
                <c:pt idx="67">
                  <c:v>1721</c:v>
                </c:pt>
                <c:pt idx="68">
                  <c:v>1591</c:v>
                </c:pt>
                <c:pt idx="69">
                  <c:v>1529</c:v>
                </c:pt>
                <c:pt idx="70">
                  <c:v>1513</c:v>
                </c:pt>
                <c:pt idx="71">
                  <c:v>1517</c:v>
                </c:pt>
                <c:pt idx="72">
                  <c:v>1491</c:v>
                </c:pt>
                <c:pt idx="73">
                  <c:v>1499</c:v>
                </c:pt>
                <c:pt idx="74">
                  <c:v>1459</c:v>
                </c:pt>
                <c:pt idx="75">
                  <c:v>1627</c:v>
                </c:pt>
                <c:pt idx="76">
                  <c:v>1445</c:v>
                </c:pt>
                <c:pt idx="77">
                  <c:v>1459</c:v>
                </c:pt>
                <c:pt idx="78">
                  <c:v>1437</c:v>
                </c:pt>
                <c:pt idx="79">
                  <c:v>1441</c:v>
                </c:pt>
                <c:pt idx="80">
                  <c:v>1437</c:v>
                </c:pt>
                <c:pt idx="81">
                  <c:v>1417</c:v>
                </c:pt>
                <c:pt idx="82">
                  <c:v>1423</c:v>
                </c:pt>
                <c:pt idx="83">
                  <c:v>1459</c:v>
                </c:pt>
                <c:pt idx="84">
                  <c:v>1419</c:v>
                </c:pt>
                <c:pt idx="85">
                  <c:v>1383</c:v>
                </c:pt>
                <c:pt idx="86">
                  <c:v>1381</c:v>
                </c:pt>
                <c:pt idx="87">
                  <c:v>1363</c:v>
                </c:pt>
                <c:pt idx="88">
                  <c:v>1359</c:v>
                </c:pt>
                <c:pt idx="89">
                  <c:v>1367</c:v>
                </c:pt>
                <c:pt idx="90">
                  <c:v>1499</c:v>
                </c:pt>
                <c:pt idx="91">
                  <c:v>1505</c:v>
                </c:pt>
                <c:pt idx="92">
                  <c:v>1327</c:v>
                </c:pt>
                <c:pt idx="93">
                  <c:v>1339</c:v>
                </c:pt>
                <c:pt idx="94">
                  <c:v>1331</c:v>
                </c:pt>
                <c:pt idx="95">
                  <c:v>1303</c:v>
                </c:pt>
                <c:pt idx="96">
                  <c:v>1305</c:v>
                </c:pt>
                <c:pt idx="97">
                  <c:v>1305</c:v>
                </c:pt>
                <c:pt idx="98">
                  <c:v>1443</c:v>
                </c:pt>
                <c:pt idx="99">
                  <c:v>1305</c:v>
                </c:pt>
                <c:pt idx="100">
                  <c:v>1285</c:v>
                </c:pt>
                <c:pt idx="101">
                  <c:v>1293</c:v>
                </c:pt>
                <c:pt idx="102">
                  <c:v>1271</c:v>
                </c:pt>
                <c:pt idx="103">
                  <c:v>1265</c:v>
                </c:pt>
                <c:pt idx="104">
                  <c:v>1239</c:v>
                </c:pt>
                <c:pt idx="105">
                  <c:v>1401</c:v>
                </c:pt>
                <c:pt idx="106">
                  <c:v>1235</c:v>
                </c:pt>
                <c:pt idx="107">
                  <c:v>1235</c:v>
                </c:pt>
                <c:pt idx="108">
                  <c:v>1233</c:v>
                </c:pt>
                <c:pt idx="109">
                  <c:v>1221</c:v>
                </c:pt>
                <c:pt idx="110">
                  <c:v>1379</c:v>
                </c:pt>
                <c:pt idx="111">
                  <c:v>1213</c:v>
                </c:pt>
                <c:pt idx="112">
                  <c:v>1213</c:v>
                </c:pt>
                <c:pt idx="113">
                  <c:v>1205</c:v>
                </c:pt>
                <c:pt idx="114">
                  <c:v>1216</c:v>
                </c:pt>
                <c:pt idx="115">
                  <c:v>1210</c:v>
                </c:pt>
                <c:pt idx="116">
                  <c:v>1217</c:v>
                </c:pt>
                <c:pt idx="117">
                  <c:v>1367</c:v>
                </c:pt>
                <c:pt idx="118">
                  <c:v>1185</c:v>
                </c:pt>
                <c:pt idx="119">
                  <c:v>1179</c:v>
                </c:pt>
                <c:pt idx="120">
                  <c:v>1191</c:v>
                </c:pt>
                <c:pt idx="121">
                  <c:v>1195</c:v>
                </c:pt>
                <c:pt idx="122">
                  <c:v>1177</c:v>
                </c:pt>
                <c:pt idx="123">
                  <c:v>1173</c:v>
                </c:pt>
                <c:pt idx="124">
                  <c:v>1179</c:v>
                </c:pt>
                <c:pt idx="125">
                  <c:v>1175</c:v>
                </c:pt>
                <c:pt idx="126">
                  <c:v>1333</c:v>
                </c:pt>
                <c:pt idx="127">
                  <c:v>1171</c:v>
                </c:pt>
                <c:pt idx="128">
                  <c:v>1167</c:v>
                </c:pt>
                <c:pt idx="129">
                  <c:v>1171</c:v>
                </c:pt>
                <c:pt idx="130">
                  <c:v>1152</c:v>
                </c:pt>
                <c:pt idx="131">
                  <c:v>1327</c:v>
                </c:pt>
                <c:pt idx="132">
                  <c:v>1155</c:v>
                </c:pt>
                <c:pt idx="133">
                  <c:v>1161</c:v>
                </c:pt>
                <c:pt idx="134">
                  <c:v>1157</c:v>
                </c:pt>
                <c:pt idx="135">
                  <c:v>1155</c:v>
                </c:pt>
                <c:pt idx="136">
                  <c:v>1295</c:v>
                </c:pt>
                <c:pt idx="137">
                  <c:v>1153</c:v>
                </c:pt>
              </c:numCache>
            </c:numRef>
          </c:xVal>
          <c:yVal>
            <c:numRef>
              <c:f>Sheet3!$M$11:$M$148</c:f>
              <c:numCache>
                <c:formatCode>General</c:formatCode>
                <c:ptCount val="138"/>
                <c:pt idx="0">
                  <c:v>11.4</c:v>
                </c:pt>
                <c:pt idx="1">
                  <c:v>9.5399999999999991</c:v>
                </c:pt>
                <c:pt idx="2">
                  <c:v>10.6</c:v>
                </c:pt>
                <c:pt idx="3">
                  <c:v>12.3</c:v>
                </c:pt>
                <c:pt idx="4">
                  <c:v>12.7</c:v>
                </c:pt>
                <c:pt idx="5">
                  <c:v>13.3</c:v>
                </c:pt>
                <c:pt idx="6">
                  <c:v>14.5</c:v>
                </c:pt>
                <c:pt idx="7">
                  <c:v>15</c:v>
                </c:pt>
                <c:pt idx="8">
                  <c:v>16.5</c:v>
                </c:pt>
                <c:pt idx="9">
                  <c:v>17.600000000000001</c:v>
                </c:pt>
                <c:pt idx="10">
                  <c:v>18.7</c:v>
                </c:pt>
                <c:pt idx="11">
                  <c:v>19.8</c:v>
                </c:pt>
                <c:pt idx="12">
                  <c:v>20.100000000000001</c:v>
                </c:pt>
                <c:pt idx="13">
                  <c:v>23.6</c:v>
                </c:pt>
                <c:pt idx="14">
                  <c:v>32.1</c:v>
                </c:pt>
                <c:pt idx="15">
                  <c:v>33</c:v>
                </c:pt>
                <c:pt idx="16">
                  <c:v>35.299999999999997</c:v>
                </c:pt>
                <c:pt idx="17">
                  <c:v>37.4</c:v>
                </c:pt>
                <c:pt idx="18">
                  <c:v>38.799999999999997</c:v>
                </c:pt>
                <c:pt idx="19">
                  <c:v>39.6</c:v>
                </c:pt>
                <c:pt idx="20">
                  <c:v>40.700000000000003</c:v>
                </c:pt>
                <c:pt idx="21">
                  <c:v>41.3</c:v>
                </c:pt>
                <c:pt idx="22">
                  <c:v>45.8</c:v>
                </c:pt>
                <c:pt idx="23">
                  <c:v>49.5</c:v>
                </c:pt>
                <c:pt idx="24">
                  <c:v>50</c:v>
                </c:pt>
                <c:pt idx="25">
                  <c:v>11</c:v>
                </c:pt>
                <c:pt idx="26">
                  <c:v>10.5</c:v>
                </c:pt>
                <c:pt idx="27">
                  <c:v>11.2</c:v>
                </c:pt>
                <c:pt idx="28">
                  <c:v>11.1</c:v>
                </c:pt>
                <c:pt idx="29">
                  <c:v>13.2</c:v>
                </c:pt>
                <c:pt idx="30">
                  <c:v>14.7</c:v>
                </c:pt>
                <c:pt idx="31">
                  <c:v>14.1</c:v>
                </c:pt>
                <c:pt idx="32">
                  <c:v>13.5</c:v>
                </c:pt>
                <c:pt idx="33">
                  <c:v>16.100000000000001</c:v>
                </c:pt>
                <c:pt idx="34">
                  <c:v>15.4</c:v>
                </c:pt>
                <c:pt idx="35">
                  <c:v>16</c:v>
                </c:pt>
                <c:pt idx="36">
                  <c:v>17</c:v>
                </c:pt>
                <c:pt idx="37">
                  <c:v>17.899999999999999</c:v>
                </c:pt>
                <c:pt idx="38">
                  <c:v>18.899999999999999</c:v>
                </c:pt>
                <c:pt idx="39">
                  <c:v>18.399999999999999</c:v>
                </c:pt>
                <c:pt idx="40">
                  <c:v>18.899999999999999</c:v>
                </c:pt>
                <c:pt idx="41">
                  <c:v>19.8</c:v>
                </c:pt>
                <c:pt idx="42">
                  <c:v>19.399999999999999</c:v>
                </c:pt>
                <c:pt idx="43">
                  <c:v>20.7</c:v>
                </c:pt>
                <c:pt idx="44">
                  <c:v>21.1</c:v>
                </c:pt>
                <c:pt idx="45">
                  <c:v>20.9</c:v>
                </c:pt>
                <c:pt idx="46">
                  <c:v>21.2</c:v>
                </c:pt>
                <c:pt idx="47">
                  <c:v>21.3</c:v>
                </c:pt>
                <c:pt idx="48">
                  <c:v>21.4</c:v>
                </c:pt>
                <c:pt idx="49">
                  <c:v>22.3</c:v>
                </c:pt>
                <c:pt idx="50">
                  <c:v>22.4</c:v>
                </c:pt>
                <c:pt idx="51">
                  <c:v>22.9</c:v>
                </c:pt>
                <c:pt idx="52">
                  <c:v>22.8</c:v>
                </c:pt>
                <c:pt idx="53">
                  <c:v>23.1</c:v>
                </c:pt>
                <c:pt idx="54">
                  <c:v>23.7</c:v>
                </c:pt>
                <c:pt idx="55">
                  <c:v>24.3</c:v>
                </c:pt>
                <c:pt idx="56">
                  <c:v>24.4</c:v>
                </c:pt>
                <c:pt idx="57">
                  <c:v>24.8</c:v>
                </c:pt>
                <c:pt idx="58">
                  <c:v>24.9</c:v>
                </c:pt>
                <c:pt idx="59">
                  <c:v>25.5</c:v>
                </c:pt>
                <c:pt idx="60">
                  <c:v>25.3</c:v>
                </c:pt>
                <c:pt idx="61">
                  <c:v>25.8</c:v>
                </c:pt>
                <c:pt idx="62">
                  <c:v>26.1</c:v>
                </c:pt>
                <c:pt idx="63">
                  <c:v>26.3</c:v>
                </c:pt>
                <c:pt idx="64">
                  <c:v>26.5</c:v>
                </c:pt>
                <c:pt idx="65">
                  <c:v>26.7</c:v>
                </c:pt>
                <c:pt idx="66">
                  <c:v>27.1</c:v>
                </c:pt>
                <c:pt idx="67">
                  <c:v>27.5</c:v>
                </c:pt>
                <c:pt idx="68">
                  <c:v>27.8</c:v>
                </c:pt>
                <c:pt idx="69">
                  <c:v>27.9</c:v>
                </c:pt>
                <c:pt idx="70">
                  <c:v>28.3</c:v>
                </c:pt>
                <c:pt idx="71">
                  <c:v>28.2</c:v>
                </c:pt>
                <c:pt idx="72">
                  <c:v>28.6</c:v>
                </c:pt>
                <c:pt idx="73">
                  <c:v>29</c:v>
                </c:pt>
                <c:pt idx="74">
                  <c:v>29.8</c:v>
                </c:pt>
                <c:pt idx="75">
                  <c:v>29.3</c:v>
                </c:pt>
                <c:pt idx="76">
                  <c:v>29.7</c:v>
                </c:pt>
                <c:pt idx="77">
                  <c:v>30.1</c:v>
                </c:pt>
                <c:pt idx="78">
                  <c:v>30.5</c:v>
                </c:pt>
                <c:pt idx="79">
                  <c:v>30.6</c:v>
                </c:pt>
                <c:pt idx="80">
                  <c:v>30.9</c:v>
                </c:pt>
                <c:pt idx="81">
                  <c:v>31.2</c:v>
                </c:pt>
                <c:pt idx="82">
                  <c:v>31.9</c:v>
                </c:pt>
                <c:pt idx="83">
                  <c:v>31.1</c:v>
                </c:pt>
                <c:pt idx="84">
                  <c:v>31.5</c:v>
                </c:pt>
                <c:pt idx="85">
                  <c:v>32.799999999999997</c:v>
                </c:pt>
                <c:pt idx="86">
                  <c:v>32.700000000000003</c:v>
                </c:pt>
                <c:pt idx="87">
                  <c:v>33.4</c:v>
                </c:pt>
                <c:pt idx="88">
                  <c:v>33.5</c:v>
                </c:pt>
                <c:pt idx="89">
                  <c:v>34.1</c:v>
                </c:pt>
                <c:pt idx="90">
                  <c:v>34.299999999999997</c:v>
                </c:pt>
                <c:pt idx="91">
                  <c:v>34.9</c:v>
                </c:pt>
                <c:pt idx="92">
                  <c:v>35.6</c:v>
                </c:pt>
                <c:pt idx="93">
                  <c:v>35.200000000000003</c:v>
                </c:pt>
                <c:pt idx="94">
                  <c:v>36</c:v>
                </c:pt>
                <c:pt idx="95">
                  <c:v>36.299999999999997</c:v>
                </c:pt>
                <c:pt idx="96">
                  <c:v>36.4</c:v>
                </c:pt>
                <c:pt idx="97">
                  <c:v>36.700000000000003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38</c:v>
                </c:pt>
                <c:pt idx="101">
                  <c:v>38.200000000000003</c:v>
                </c:pt>
                <c:pt idx="102">
                  <c:v>39.1</c:v>
                </c:pt>
                <c:pt idx="103">
                  <c:v>39.5</c:v>
                </c:pt>
                <c:pt idx="104">
                  <c:v>40.4</c:v>
                </c:pt>
                <c:pt idx="105">
                  <c:v>40.9</c:v>
                </c:pt>
                <c:pt idx="106">
                  <c:v>41.6</c:v>
                </c:pt>
                <c:pt idx="107">
                  <c:v>41.8</c:v>
                </c:pt>
                <c:pt idx="108">
                  <c:v>42</c:v>
                </c:pt>
                <c:pt idx="109">
                  <c:v>42.1</c:v>
                </c:pt>
                <c:pt idx="110">
                  <c:v>42.3</c:v>
                </c:pt>
                <c:pt idx="111">
                  <c:v>42.4</c:v>
                </c:pt>
                <c:pt idx="112">
                  <c:v>43.2</c:v>
                </c:pt>
                <c:pt idx="113">
                  <c:v>43.4</c:v>
                </c:pt>
                <c:pt idx="114">
                  <c:v>43.8</c:v>
                </c:pt>
                <c:pt idx="115">
                  <c:v>43.7</c:v>
                </c:pt>
                <c:pt idx="116">
                  <c:v>44.1</c:v>
                </c:pt>
                <c:pt idx="117">
                  <c:v>44</c:v>
                </c:pt>
                <c:pt idx="118">
                  <c:v>44.3</c:v>
                </c:pt>
                <c:pt idx="119">
                  <c:v>44.9</c:v>
                </c:pt>
                <c:pt idx="120">
                  <c:v>45.6</c:v>
                </c:pt>
                <c:pt idx="121">
                  <c:v>45.4</c:v>
                </c:pt>
                <c:pt idx="122">
                  <c:v>46</c:v>
                </c:pt>
                <c:pt idx="123">
                  <c:v>46.2</c:v>
                </c:pt>
                <c:pt idx="124">
                  <c:v>46.5</c:v>
                </c:pt>
                <c:pt idx="125">
                  <c:v>46.7</c:v>
                </c:pt>
                <c:pt idx="126">
                  <c:v>47.3</c:v>
                </c:pt>
                <c:pt idx="127">
                  <c:v>47.4</c:v>
                </c:pt>
                <c:pt idx="128">
                  <c:v>47.5</c:v>
                </c:pt>
                <c:pt idx="129">
                  <c:v>47.7</c:v>
                </c:pt>
                <c:pt idx="130">
                  <c:v>48.3</c:v>
                </c:pt>
                <c:pt idx="131">
                  <c:v>48.4</c:v>
                </c:pt>
                <c:pt idx="132">
                  <c:v>48.6</c:v>
                </c:pt>
                <c:pt idx="133">
                  <c:v>48.9</c:v>
                </c:pt>
                <c:pt idx="134">
                  <c:v>49.1</c:v>
                </c:pt>
                <c:pt idx="135">
                  <c:v>49.6</c:v>
                </c:pt>
                <c:pt idx="136">
                  <c:v>50.2</c:v>
                </c:pt>
                <c:pt idx="137">
                  <c:v>50.3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D-45D1-9056-D900A8F3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256079"/>
        <c:axId val="1113259439"/>
      </c:scatterChart>
      <c:valAx>
        <c:axId val="11132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59439"/>
        <c:crosses val="autoZero"/>
        <c:crossBetween val="midCat"/>
      </c:valAx>
      <c:valAx>
        <c:axId val="11132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5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490535</xdr:colOff>
      <xdr:row>54</xdr:row>
      <xdr:rowOff>19051</xdr:rowOff>
    </xdr:from>
    <xdr:to>
      <xdr:col>14</xdr:col>
      <xdr:colOff>485774</xdr:colOff>
      <xdr:row>75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2DACFA-53B7-3DEE-809A-4C2EE995B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53</xdr:row>
      <xdr:rowOff>133350</xdr:rowOff>
    </xdr:from>
    <xdr:to>
      <xdr:col>16</xdr:col>
      <xdr:colOff>371474</xdr:colOff>
      <xdr:row>78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8D8AE-71F4-0F2C-3B96-E22239C27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15</xdr:row>
      <xdr:rowOff>28575</xdr:rowOff>
    </xdr:from>
    <xdr:to>
      <xdr:col>16</xdr:col>
      <xdr:colOff>214312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26471-7EEE-568F-78B0-2E9D60960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295274</xdr:colOff>
      <xdr:row>14</xdr:row>
      <xdr:rowOff>123825</xdr:rowOff>
    </xdr:from>
    <xdr:to>
      <xdr:col>8</xdr:col>
      <xdr:colOff>152399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6867B-47FB-0546-2D1B-225F11547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2</xdr:row>
      <xdr:rowOff>114299</xdr:rowOff>
    </xdr:from>
    <xdr:to>
      <xdr:col>18</xdr:col>
      <xdr:colOff>371475</xdr:colOff>
      <xdr:row>27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5EE2B-0AA5-B3E2-6F9B-4D943E562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113</xdr:row>
      <xdr:rowOff>52386</xdr:rowOff>
    </xdr:from>
    <xdr:to>
      <xdr:col>28</xdr:col>
      <xdr:colOff>200025</xdr:colOff>
      <xdr:row>145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37242-7F02-6678-7ABF-DA07DE7AE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3137ED-2E4D-4E4E-B2F1-FE18A705E85F}" autoFormatId="16" applyNumberFormats="0" applyBorderFormats="0" applyFontFormats="0" applyPatternFormats="0" applyAlignmentFormats="0" applyWidthHeightFormats="0">
  <queryTableRefresh nextId="4">
    <queryTableFields count="3">
      <queryTableField id="1" name="Angle" tableColumnId="1"/>
      <queryTableField id="2" name="Distance" tableColumnId="2"/>
      <queryTableField id="3" name="IR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E52BC3-44CF-464A-93EA-F20258D4ABAF}" name="p3_data__2" displayName="p3_data__2" ref="A1:C93" tableType="queryTable" totalsRowShown="0">
  <autoFilter ref="A1:C93" xr:uid="{B3E52BC3-44CF-464A-93EA-F20258D4ABAF}"/>
  <tableColumns count="3">
    <tableColumn id="1" xr3:uid="{D8B62AEF-420B-4474-B629-6B8D9E400EB8}" uniqueName="1" name="Angle" queryTableFieldId="1"/>
    <tableColumn id="2" xr3:uid="{4756C5DC-C31D-41F5-AAEC-DA65E9DC2505}" uniqueName="2" name="Distance" queryTableFieldId="2"/>
    <tableColumn id="3" xr3:uid="{A68BC57F-C9C4-4260-8B3E-5D49A2814998}" uniqueName="3" name="IR_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ECFC-9E9E-46DC-8223-14192740E94A}">
  <dimension ref="A1:F93"/>
  <sheetViews>
    <sheetView topLeftCell="A49" workbookViewId="0">
      <selection activeCell="B78" sqref="B78:B94"/>
    </sheetView>
  </sheetViews>
  <sheetFormatPr defaultRowHeight="15" x14ac:dyDescent="0.25"/>
  <cols>
    <col min="1" max="1" width="7.85546875" bestFit="1" customWidth="1"/>
    <col min="2" max="3" width="10.5703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3" spans="1:6" x14ac:dyDescent="0.25">
      <c r="A3">
        <v>0</v>
      </c>
      <c r="B3">
        <v>313.7</v>
      </c>
      <c r="C3">
        <v>1235</v>
      </c>
      <c r="E3">
        <f>+p3_data__2[[#This Row],[IR_Value]]</f>
        <v>1235</v>
      </c>
      <c r="F3">
        <f>+p3_data__2[[#This Row],[Distance]]</f>
        <v>313.7</v>
      </c>
    </row>
    <row r="4" spans="1:6" x14ac:dyDescent="0.25">
      <c r="A4">
        <v>2</v>
      </c>
      <c r="B4">
        <v>313.7</v>
      </c>
      <c r="C4">
        <v>825</v>
      </c>
      <c r="E4">
        <f>+p3_data__2[[#This Row],[IR_Value]]</f>
        <v>825</v>
      </c>
      <c r="F4">
        <f>+p3_data__2[[#This Row],[Distance]]</f>
        <v>313.7</v>
      </c>
    </row>
    <row r="5" spans="1:6" x14ac:dyDescent="0.25">
      <c r="A5">
        <v>4</v>
      </c>
      <c r="B5">
        <v>144.4</v>
      </c>
      <c r="C5">
        <v>555</v>
      </c>
      <c r="E5">
        <f>+p3_data__2[[#This Row],[IR_Value]]</f>
        <v>555</v>
      </c>
      <c r="F5">
        <f>+p3_data__2[[#This Row],[Distance]]</f>
        <v>144.4</v>
      </c>
    </row>
    <row r="6" spans="1:6" x14ac:dyDescent="0.25">
      <c r="A6">
        <v>6</v>
      </c>
      <c r="B6">
        <v>241.2</v>
      </c>
      <c r="C6">
        <v>595</v>
      </c>
      <c r="E6">
        <f>+p3_data__2[[#This Row],[IR_Value]]</f>
        <v>595</v>
      </c>
      <c r="F6">
        <f>+p3_data__2[[#This Row],[Distance]]</f>
        <v>241.2</v>
      </c>
    </row>
    <row r="7" spans="1:6" x14ac:dyDescent="0.25">
      <c r="A7">
        <v>8</v>
      </c>
      <c r="B7">
        <v>240.4</v>
      </c>
      <c r="C7">
        <v>619</v>
      </c>
      <c r="E7">
        <f>+p3_data__2[[#This Row],[IR_Value]]</f>
        <v>619</v>
      </c>
      <c r="F7">
        <f>+p3_data__2[[#This Row],[Distance]]</f>
        <v>240.4</v>
      </c>
    </row>
    <row r="8" spans="1:6" x14ac:dyDescent="0.25">
      <c r="A8">
        <v>10</v>
      </c>
      <c r="B8">
        <v>240.9</v>
      </c>
      <c r="C8">
        <v>615</v>
      </c>
      <c r="E8">
        <f>+p3_data__2[[#This Row],[IR_Value]]</f>
        <v>615</v>
      </c>
      <c r="F8">
        <f>+p3_data__2[[#This Row],[Distance]]</f>
        <v>240.9</v>
      </c>
    </row>
    <row r="9" spans="1:6" x14ac:dyDescent="0.25">
      <c r="A9">
        <v>12</v>
      </c>
      <c r="B9">
        <v>241</v>
      </c>
      <c r="C9">
        <v>664</v>
      </c>
      <c r="E9">
        <f>+p3_data__2[[#This Row],[IR_Value]]</f>
        <v>664</v>
      </c>
      <c r="F9">
        <f>+p3_data__2[[#This Row],[Distance]]</f>
        <v>241</v>
      </c>
    </row>
    <row r="10" spans="1:6" x14ac:dyDescent="0.25">
      <c r="A10">
        <v>14</v>
      </c>
      <c r="B10">
        <v>241.5</v>
      </c>
      <c r="C10">
        <v>601</v>
      </c>
      <c r="E10">
        <f>+p3_data__2[[#This Row],[IR_Value]]</f>
        <v>601</v>
      </c>
      <c r="F10">
        <f>+p3_data__2[[#This Row],[Distance]]</f>
        <v>241.5</v>
      </c>
    </row>
    <row r="11" spans="1:6" x14ac:dyDescent="0.25">
      <c r="A11">
        <v>16</v>
      </c>
      <c r="B11">
        <v>241.9</v>
      </c>
      <c r="C11">
        <v>639</v>
      </c>
      <c r="E11">
        <f>+p3_data__2[[#This Row],[IR_Value]]</f>
        <v>639</v>
      </c>
      <c r="F11">
        <f>+p3_data__2[[#This Row],[Distance]]</f>
        <v>241.9</v>
      </c>
    </row>
    <row r="12" spans="1:6" x14ac:dyDescent="0.25">
      <c r="A12">
        <v>18</v>
      </c>
      <c r="B12">
        <v>241.4</v>
      </c>
      <c r="C12">
        <v>655</v>
      </c>
      <c r="E12">
        <f>+p3_data__2[[#This Row],[IR_Value]]</f>
        <v>655</v>
      </c>
      <c r="F12">
        <f>+p3_data__2[[#This Row],[Distance]]</f>
        <v>241.4</v>
      </c>
    </row>
    <row r="13" spans="1:6" x14ac:dyDescent="0.25">
      <c r="A13">
        <v>20</v>
      </c>
      <c r="B13">
        <v>313.8</v>
      </c>
      <c r="C13">
        <v>587</v>
      </c>
      <c r="E13">
        <f>+p3_data__2[[#This Row],[IR_Value]]</f>
        <v>587</v>
      </c>
      <c r="F13">
        <f>+p3_data__2[[#This Row],[Distance]]</f>
        <v>313.8</v>
      </c>
    </row>
    <row r="14" spans="1:6" x14ac:dyDescent="0.25">
      <c r="A14">
        <v>22</v>
      </c>
      <c r="B14">
        <v>313.89999999999998</v>
      </c>
      <c r="C14">
        <v>579</v>
      </c>
      <c r="E14">
        <f>+p3_data__2[[#This Row],[IR_Value]]</f>
        <v>579</v>
      </c>
      <c r="F14">
        <f>+p3_data__2[[#This Row],[Distance]]</f>
        <v>313.89999999999998</v>
      </c>
    </row>
    <row r="15" spans="1:6" x14ac:dyDescent="0.25">
      <c r="A15">
        <v>24</v>
      </c>
      <c r="B15">
        <v>313.8</v>
      </c>
      <c r="C15">
        <v>571</v>
      </c>
      <c r="E15">
        <f>+p3_data__2[[#This Row],[IR_Value]]</f>
        <v>571</v>
      </c>
      <c r="F15">
        <f>+p3_data__2[[#This Row],[Distance]]</f>
        <v>313.8</v>
      </c>
    </row>
    <row r="16" spans="1:6" x14ac:dyDescent="0.25">
      <c r="A16">
        <v>26</v>
      </c>
      <c r="B16">
        <v>43</v>
      </c>
      <c r="C16">
        <v>611</v>
      </c>
      <c r="E16">
        <f>+p3_data__2[[#This Row],[IR_Value]]</f>
        <v>611</v>
      </c>
      <c r="F16">
        <f>+p3_data__2[[#This Row],[Distance]]</f>
        <v>43</v>
      </c>
    </row>
    <row r="17" spans="1:6" x14ac:dyDescent="0.25">
      <c r="A17">
        <v>28</v>
      </c>
      <c r="B17">
        <v>43.1</v>
      </c>
      <c r="C17">
        <v>857</v>
      </c>
      <c r="E17">
        <f>+p3_data__2[[#This Row],[IR_Value]]</f>
        <v>857</v>
      </c>
      <c r="F17">
        <f>+p3_data__2[[#This Row],[Distance]]</f>
        <v>43.1</v>
      </c>
    </row>
    <row r="18" spans="1:6" x14ac:dyDescent="0.25">
      <c r="A18">
        <v>30</v>
      </c>
      <c r="B18">
        <v>42.7</v>
      </c>
      <c r="C18">
        <v>1290</v>
      </c>
      <c r="E18">
        <f>+p3_data__2[[#This Row],[IR_Value]]</f>
        <v>1290</v>
      </c>
      <c r="F18">
        <f>+p3_data__2[[#This Row],[Distance]]</f>
        <v>42.7</v>
      </c>
    </row>
    <row r="19" spans="1:6" x14ac:dyDescent="0.25">
      <c r="A19">
        <v>32</v>
      </c>
      <c r="B19">
        <v>42.7</v>
      </c>
      <c r="C19">
        <v>1225</v>
      </c>
      <c r="E19">
        <f>+p3_data__2[[#This Row],[IR_Value]]</f>
        <v>1225</v>
      </c>
      <c r="F19">
        <f>+p3_data__2[[#This Row],[Distance]]</f>
        <v>42.7</v>
      </c>
    </row>
    <row r="20" spans="1:6" x14ac:dyDescent="0.25">
      <c r="A20">
        <v>34</v>
      </c>
      <c r="B20">
        <v>42.7</v>
      </c>
      <c r="C20">
        <v>1251</v>
      </c>
      <c r="E20">
        <f>+p3_data__2[[#This Row],[IR_Value]]</f>
        <v>1251</v>
      </c>
      <c r="F20">
        <f>+p3_data__2[[#This Row],[Distance]]</f>
        <v>42.7</v>
      </c>
    </row>
    <row r="21" spans="1:6" x14ac:dyDescent="0.25">
      <c r="A21">
        <v>36</v>
      </c>
      <c r="B21">
        <v>43.1</v>
      </c>
      <c r="C21">
        <v>1229</v>
      </c>
      <c r="E21">
        <f>+p3_data__2[[#This Row],[IR_Value]]</f>
        <v>1229</v>
      </c>
      <c r="F21">
        <f>+p3_data__2[[#This Row],[Distance]]</f>
        <v>43.1</v>
      </c>
    </row>
    <row r="22" spans="1:6" x14ac:dyDescent="0.25">
      <c r="A22">
        <v>38</v>
      </c>
      <c r="B22">
        <v>43.1</v>
      </c>
      <c r="C22">
        <v>1173</v>
      </c>
      <c r="E22">
        <f>+p3_data__2[[#This Row],[IR_Value]]</f>
        <v>1173</v>
      </c>
      <c r="F22">
        <f>+p3_data__2[[#This Row],[Distance]]</f>
        <v>43.1</v>
      </c>
    </row>
    <row r="23" spans="1:6" x14ac:dyDescent="0.25">
      <c r="A23">
        <v>40</v>
      </c>
      <c r="B23">
        <v>43.6</v>
      </c>
      <c r="C23">
        <v>951</v>
      </c>
      <c r="E23">
        <f>+p3_data__2[[#This Row],[IR_Value]]</f>
        <v>951</v>
      </c>
      <c r="F23">
        <f>+p3_data__2[[#This Row],[Distance]]</f>
        <v>43.6</v>
      </c>
    </row>
    <row r="24" spans="1:6" x14ac:dyDescent="0.25">
      <c r="A24">
        <v>42</v>
      </c>
      <c r="B24">
        <v>185.8</v>
      </c>
      <c r="C24">
        <v>633</v>
      </c>
      <c r="E24">
        <f>+p3_data__2[[#This Row],[IR_Value]]</f>
        <v>633</v>
      </c>
      <c r="F24">
        <f>+p3_data__2[[#This Row],[Distance]]</f>
        <v>185.8</v>
      </c>
    </row>
    <row r="25" spans="1:6" x14ac:dyDescent="0.25">
      <c r="A25">
        <v>44</v>
      </c>
      <c r="B25">
        <v>185.9</v>
      </c>
      <c r="C25">
        <v>595</v>
      </c>
      <c r="E25">
        <f>+p3_data__2[[#This Row],[IR_Value]]</f>
        <v>595</v>
      </c>
      <c r="F25">
        <f>+p3_data__2[[#This Row],[Distance]]</f>
        <v>185.9</v>
      </c>
    </row>
    <row r="26" spans="1:6" x14ac:dyDescent="0.25">
      <c r="A26">
        <v>46</v>
      </c>
      <c r="B26">
        <v>186.5</v>
      </c>
      <c r="C26">
        <v>599</v>
      </c>
      <c r="E26">
        <f>+p3_data__2[[#This Row],[IR_Value]]</f>
        <v>599</v>
      </c>
      <c r="F26">
        <f>+p3_data__2[[#This Row],[Distance]]</f>
        <v>186.5</v>
      </c>
    </row>
    <row r="27" spans="1:6" x14ac:dyDescent="0.25">
      <c r="A27">
        <v>48</v>
      </c>
      <c r="B27">
        <v>313.60000000000002</v>
      </c>
      <c r="C27">
        <v>561</v>
      </c>
      <c r="E27">
        <f>+p3_data__2[[#This Row],[IR_Value]]</f>
        <v>561</v>
      </c>
      <c r="F27">
        <f>+p3_data__2[[#This Row],[Distance]]</f>
        <v>313.60000000000002</v>
      </c>
    </row>
    <row r="28" spans="1:6" x14ac:dyDescent="0.25">
      <c r="A28">
        <v>50</v>
      </c>
      <c r="B28">
        <v>313.8</v>
      </c>
      <c r="C28">
        <v>555</v>
      </c>
      <c r="E28">
        <f>+p3_data__2[[#This Row],[IR_Value]]</f>
        <v>555</v>
      </c>
      <c r="F28">
        <f>+p3_data__2[[#This Row],[Distance]]</f>
        <v>313.8</v>
      </c>
    </row>
    <row r="29" spans="1:6" x14ac:dyDescent="0.25">
      <c r="A29">
        <v>52</v>
      </c>
      <c r="B29">
        <v>144.6</v>
      </c>
      <c r="C29">
        <v>707</v>
      </c>
      <c r="E29">
        <f>+p3_data__2[[#This Row],[IR_Value]]</f>
        <v>707</v>
      </c>
      <c r="F29">
        <f>+p3_data__2[[#This Row],[Distance]]</f>
        <v>144.6</v>
      </c>
    </row>
    <row r="30" spans="1:6" x14ac:dyDescent="0.25">
      <c r="A30">
        <v>54</v>
      </c>
      <c r="B30">
        <v>144.4</v>
      </c>
      <c r="C30">
        <v>553</v>
      </c>
      <c r="E30">
        <f>+p3_data__2[[#This Row],[IR_Value]]</f>
        <v>553</v>
      </c>
      <c r="F30">
        <f>+p3_data__2[[#This Row],[Distance]]</f>
        <v>144.4</v>
      </c>
    </row>
    <row r="31" spans="1:6" x14ac:dyDescent="0.25">
      <c r="A31">
        <v>56</v>
      </c>
      <c r="B31">
        <v>143.5</v>
      </c>
      <c r="C31">
        <v>543</v>
      </c>
      <c r="E31">
        <f>+p3_data__2[[#This Row],[IR_Value]]</f>
        <v>543</v>
      </c>
      <c r="F31">
        <f>+p3_data__2[[#This Row],[Distance]]</f>
        <v>143.5</v>
      </c>
    </row>
    <row r="32" spans="1:6" x14ac:dyDescent="0.25">
      <c r="A32">
        <v>58</v>
      </c>
      <c r="B32">
        <v>143.6</v>
      </c>
      <c r="C32">
        <v>545</v>
      </c>
      <c r="E32">
        <f>+p3_data__2[[#This Row],[IR_Value]]</f>
        <v>545</v>
      </c>
      <c r="F32">
        <f>+p3_data__2[[#This Row],[Distance]]</f>
        <v>143.6</v>
      </c>
    </row>
    <row r="33" spans="1:6" x14ac:dyDescent="0.25">
      <c r="A33">
        <v>60</v>
      </c>
      <c r="B33">
        <v>143.5</v>
      </c>
      <c r="C33">
        <v>579</v>
      </c>
      <c r="E33">
        <f>+p3_data__2[[#This Row],[IR_Value]]</f>
        <v>579</v>
      </c>
      <c r="F33">
        <f>+p3_data__2[[#This Row],[Distance]]</f>
        <v>143.5</v>
      </c>
    </row>
    <row r="34" spans="1:6" x14ac:dyDescent="0.25">
      <c r="A34">
        <v>62</v>
      </c>
      <c r="B34">
        <v>143.5</v>
      </c>
      <c r="C34">
        <v>547</v>
      </c>
      <c r="E34">
        <f>+p3_data__2[[#This Row],[IR_Value]]</f>
        <v>547</v>
      </c>
      <c r="F34">
        <f>+p3_data__2[[#This Row],[Distance]]</f>
        <v>143.5</v>
      </c>
    </row>
    <row r="35" spans="1:6" x14ac:dyDescent="0.25">
      <c r="A35">
        <v>64</v>
      </c>
      <c r="B35">
        <v>143.5</v>
      </c>
      <c r="C35">
        <v>583</v>
      </c>
      <c r="E35">
        <f>+p3_data__2[[#This Row],[IR_Value]]</f>
        <v>583</v>
      </c>
      <c r="F35">
        <f>+p3_data__2[[#This Row],[Distance]]</f>
        <v>143.5</v>
      </c>
    </row>
    <row r="36" spans="1:6" x14ac:dyDescent="0.25">
      <c r="A36">
        <v>66</v>
      </c>
      <c r="B36">
        <v>143.5</v>
      </c>
      <c r="C36">
        <v>679</v>
      </c>
      <c r="E36">
        <f>+p3_data__2[[#This Row],[IR_Value]]</f>
        <v>679</v>
      </c>
      <c r="F36">
        <f>+p3_data__2[[#This Row],[Distance]]</f>
        <v>143.5</v>
      </c>
    </row>
    <row r="37" spans="1:6" x14ac:dyDescent="0.25">
      <c r="A37">
        <v>68</v>
      </c>
      <c r="B37">
        <v>143.5</v>
      </c>
      <c r="C37">
        <v>743</v>
      </c>
      <c r="E37">
        <f>+p3_data__2[[#This Row],[IR_Value]]</f>
        <v>743</v>
      </c>
      <c r="F37">
        <f>+p3_data__2[[#This Row],[Distance]]</f>
        <v>143.5</v>
      </c>
    </row>
    <row r="38" spans="1:6" x14ac:dyDescent="0.25">
      <c r="A38">
        <v>70</v>
      </c>
      <c r="B38">
        <v>144</v>
      </c>
      <c r="C38">
        <v>731</v>
      </c>
      <c r="E38">
        <f>+p3_data__2[[#This Row],[IR_Value]]</f>
        <v>731</v>
      </c>
      <c r="F38">
        <f>+p3_data__2[[#This Row],[Distance]]</f>
        <v>144</v>
      </c>
    </row>
    <row r="39" spans="1:6" x14ac:dyDescent="0.25">
      <c r="A39">
        <v>72</v>
      </c>
      <c r="B39">
        <v>144.9</v>
      </c>
      <c r="C39">
        <v>743</v>
      </c>
      <c r="E39">
        <f>+p3_data__2[[#This Row],[IR_Value]]</f>
        <v>743</v>
      </c>
      <c r="F39">
        <f>+p3_data__2[[#This Row],[Distance]]</f>
        <v>144.9</v>
      </c>
    </row>
    <row r="40" spans="1:6" x14ac:dyDescent="0.25">
      <c r="A40">
        <v>74</v>
      </c>
      <c r="B40">
        <v>145.80000000000001</v>
      </c>
      <c r="C40">
        <v>755</v>
      </c>
      <c r="E40">
        <f>+p3_data__2[[#This Row],[IR_Value]]</f>
        <v>755</v>
      </c>
      <c r="F40">
        <f>+p3_data__2[[#This Row],[Distance]]</f>
        <v>145.80000000000001</v>
      </c>
    </row>
    <row r="41" spans="1:6" x14ac:dyDescent="0.25">
      <c r="A41">
        <v>76</v>
      </c>
      <c r="B41">
        <v>314</v>
      </c>
      <c r="C41">
        <v>951</v>
      </c>
      <c r="E41">
        <f>+p3_data__2[[#This Row],[IR_Value]]</f>
        <v>951</v>
      </c>
      <c r="F41">
        <f>+p3_data__2[[#This Row],[Distance]]</f>
        <v>314</v>
      </c>
    </row>
    <row r="42" spans="1:6" x14ac:dyDescent="0.25">
      <c r="A42">
        <v>78</v>
      </c>
      <c r="B42">
        <v>313.89999999999998</v>
      </c>
      <c r="C42">
        <v>807</v>
      </c>
      <c r="E42">
        <f>+p3_data__2[[#This Row],[IR_Value]]</f>
        <v>807</v>
      </c>
      <c r="F42">
        <f>+p3_data__2[[#This Row],[Distance]]</f>
        <v>313.89999999999998</v>
      </c>
    </row>
    <row r="43" spans="1:6" x14ac:dyDescent="0.25">
      <c r="A43">
        <v>80</v>
      </c>
      <c r="B43">
        <v>55.4</v>
      </c>
      <c r="C43">
        <v>795</v>
      </c>
      <c r="E43">
        <f>+p3_data__2[[#This Row],[IR_Value]]</f>
        <v>795</v>
      </c>
      <c r="F43">
        <f>+p3_data__2[[#This Row],[Distance]]</f>
        <v>55.4</v>
      </c>
    </row>
    <row r="44" spans="1:6" x14ac:dyDescent="0.25">
      <c r="A44">
        <v>82</v>
      </c>
      <c r="B44">
        <v>54</v>
      </c>
      <c r="C44">
        <v>817</v>
      </c>
      <c r="E44">
        <f>+p3_data__2[[#This Row],[IR_Value]]</f>
        <v>817</v>
      </c>
      <c r="F44">
        <f>+p3_data__2[[#This Row],[Distance]]</f>
        <v>54</v>
      </c>
    </row>
    <row r="45" spans="1:6" x14ac:dyDescent="0.25">
      <c r="A45">
        <v>84</v>
      </c>
      <c r="B45">
        <v>53.9</v>
      </c>
      <c r="C45">
        <v>823</v>
      </c>
      <c r="E45">
        <f>+p3_data__2[[#This Row],[IR_Value]]</f>
        <v>823</v>
      </c>
      <c r="F45">
        <f>+p3_data__2[[#This Row],[Distance]]</f>
        <v>53.9</v>
      </c>
    </row>
    <row r="46" spans="1:6" x14ac:dyDescent="0.25">
      <c r="A46">
        <v>86</v>
      </c>
      <c r="B46">
        <v>53.5</v>
      </c>
      <c r="C46">
        <v>859</v>
      </c>
      <c r="E46">
        <f>+p3_data__2[[#This Row],[IR_Value]]</f>
        <v>859</v>
      </c>
      <c r="F46">
        <f>+p3_data__2[[#This Row],[Distance]]</f>
        <v>53.5</v>
      </c>
    </row>
    <row r="47" spans="1:6" x14ac:dyDescent="0.25">
      <c r="A47">
        <v>88</v>
      </c>
      <c r="B47">
        <v>53.5</v>
      </c>
      <c r="C47">
        <v>1059</v>
      </c>
      <c r="E47">
        <f>+p3_data__2[[#This Row],[IR_Value]]</f>
        <v>1059</v>
      </c>
      <c r="F47">
        <f>+p3_data__2[[#This Row],[Distance]]</f>
        <v>53.5</v>
      </c>
    </row>
    <row r="48" spans="1:6" x14ac:dyDescent="0.25">
      <c r="A48">
        <v>90</v>
      </c>
      <c r="B48">
        <v>53.5</v>
      </c>
      <c r="C48">
        <v>1079</v>
      </c>
      <c r="E48">
        <f>+p3_data__2[[#This Row],[IR_Value]]</f>
        <v>1079</v>
      </c>
      <c r="F48">
        <f>+p3_data__2[[#This Row],[Distance]]</f>
        <v>53.5</v>
      </c>
    </row>
    <row r="49" spans="1:6" x14ac:dyDescent="0.25">
      <c r="A49">
        <v>92</v>
      </c>
      <c r="B49">
        <v>53.5</v>
      </c>
      <c r="C49">
        <v>1073</v>
      </c>
      <c r="E49">
        <f>+p3_data__2[[#This Row],[IR_Value]]</f>
        <v>1073</v>
      </c>
      <c r="F49">
        <f>+p3_data__2[[#This Row],[Distance]]</f>
        <v>53.5</v>
      </c>
    </row>
    <row r="50" spans="1:6" x14ac:dyDescent="0.25">
      <c r="A50">
        <v>94</v>
      </c>
      <c r="B50">
        <v>53.5</v>
      </c>
      <c r="C50">
        <v>1099</v>
      </c>
      <c r="E50">
        <f>+p3_data__2[[#This Row],[IR_Value]]</f>
        <v>1099</v>
      </c>
      <c r="F50">
        <f>+p3_data__2[[#This Row],[Distance]]</f>
        <v>53.5</v>
      </c>
    </row>
    <row r="51" spans="1:6" x14ac:dyDescent="0.25">
      <c r="A51">
        <v>96</v>
      </c>
      <c r="B51">
        <v>53.5</v>
      </c>
      <c r="C51">
        <v>1067</v>
      </c>
      <c r="E51">
        <f>+p3_data__2[[#This Row],[IR_Value]]</f>
        <v>1067</v>
      </c>
      <c r="F51">
        <f>+p3_data__2[[#This Row],[Distance]]</f>
        <v>53.5</v>
      </c>
    </row>
    <row r="52" spans="1:6" x14ac:dyDescent="0.25">
      <c r="A52">
        <v>98</v>
      </c>
      <c r="B52">
        <v>53.9</v>
      </c>
      <c r="C52">
        <v>893</v>
      </c>
      <c r="E52">
        <f>+p3_data__2[[#This Row],[IR_Value]]</f>
        <v>893</v>
      </c>
      <c r="F52">
        <f>+p3_data__2[[#This Row],[Distance]]</f>
        <v>53.9</v>
      </c>
    </row>
    <row r="53" spans="1:6" x14ac:dyDescent="0.25">
      <c r="A53">
        <v>100</v>
      </c>
      <c r="B53">
        <v>53.9</v>
      </c>
      <c r="C53">
        <v>837</v>
      </c>
      <c r="E53">
        <f>+p3_data__2[[#This Row],[IR_Value]]</f>
        <v>837</v>
      </c>
      <c r="F53">
        <f>+p3_data__2[[#This Row],[Distance]]</f>
        <v>53.9</v>
      </c>
    </row>
    <row r="54" spans="1:6" x14ac:dyDescent="0.25">
      <c r="A54">
        <v>102</v>
      </c>
      <c r="B54">
        <v>54.8</v>
      </c>
      <c r="C54">
        <v>813</v>
      </c>
      <c r="E54">
        <f>+p3_data__2[[#This Row],[IR_Value]]</f>
        <v>813</v>
      </c>
      <c r="F54">
        <f>+p3_data__2[[#This Row],[Distance]]</f>
        <v>54.8</v>
      </c>
    </row>
    <row r="55" spans="1:6" x14ac:dyDescent="0.25">
      <c r="A55">
        <v>104</v>
      </c>
      <c r="B55">
        <v>313.89999999999998</v>
      </c>
      <c r="C55">
        <v>811</v>
      </c>
      <c r="E55">
        <f>+p3_data__2[[#This Row],[IR_Value]]</f>
        <v>811</v>
      </c>
      <c r="F55">
        <f>+p3_data__2[[#This Row],[Distance]]</f>
        <v>313.89999999999998</v>
      </c>
    </row>
    <row r="56" spans="1:6" x14ac:dyDescent="0.25">
      <c r="A56">
        <v>106</v>
      </c>
      <c r="B56">
        <v>313.89999999999998</v>
      </c>
      <c r="C56">
        <v>955</v>
      </c>
      <c r="E56">
        <f>+p3_data__2[[#This Row],[IR_Value]]</f>
        <v>955</v>
      </c>
      <c r="F56">
        <f>+p3_data__2[[#This Row],[Distance]]</f>
        <v>313.89999999999998</v>
      </c>
    </row>
    <row r="57" spans="1:6" x14ac:dyDescent="0.25">
      <c r="A57">
        <v>108</v>
      </c>
      <c r="B57">
        <v>313.8</v>
      </c>
      <c r="C57">
        <v>803</v>
      </c>
      <c r="E57">
        <f>+p3_data__2[[#This Row],[IR_Value]]</f>
        <v>803</v>
      </c>
      <c r="F57">
        <f>+p3_data__2[[#This Row],[Distance]]</f>
        <v>313.8</v>
      </c>
    </row>
    <row r="58" spans="1:6" x14ac:dyDescent="0.25">
      <c r="A58">
        <v>110</v>
      </c>
      <c r="B58">
        <v>313.8</v>
      </c>
      <c r="C58">
        <v>763</v>
      </c>
      <c r="E58">
        <f>+p3_data__2[[#This Row],[IR_Value]]</f>
        <v>763</v>
      </c>
      <c r="F58">
        <f>+p3_data__2[[#This Row],[Distance]]</f>
        <v>313.8</v>
      </c>
    </row>
    <row r="59" spans="1:6" x14ac:dyDescent="0.25">
      <c r="A59">
        <v>112</v>
      </c>
      <c r="B59">
        <v>313.7</v>
      </c>
      <c r="C59">
        <v>741</v>
      </c>
      <c r="E59">
        <f>+p3_data__2[[#This Row],[IR_Value]]</f>
        <v>741</v>
      </c>
      <c r="F59">
        <f>+p3_data__2[[#This Row],[Distance]]</f>
        <v>313.7</v>
      </c>
    </row>
    <row r="60" spans="1:6" x14ac:dyDescent="0.25">
      <c r="A60">
        <v>114</v>
      </c>
      <c r="B60">
        <v>313.60000000000002</v>
      </c>
      <c r="C60">
        <v>675</v>
      </c>
      <c r="E60">
        <f>+p3_data__2[[#This Row],[IR_Value]]</f>
        <v>675</v>
      </c>
      <c r="F60">
        <f>+p3_data__2[[#This Row],[Distance]]</f>
        <v>313.60000000000002</v>
      </c>
    </row>
    <row r="61" spans="1:6" x14ac:dyDescent="0.25">
      <c r="A61">
        <v>116</v>
      </c>
      <c r="B61">
        <v>313.60000000000002</v>
      </c>
      <c r="C61">
        <v>577</v>
      </c>
      <c r="E61">
        <f>+p3_data__2[[#This Row],[IR_Value]]</f>
        <v>577</v>
      </c>
      <c r="F61">
        <f>+p3_data__2[[#This Row],[Distance]]</f>
        <v>313.60000000000002</v>
      </c>
    </row>
    <row r="62" spans="1:6" x14ac:dyDescent="0.25">
      <c r="A62">
        <v>118</v>
      </c>
      <c r="B62">
        <v>313.60000000000002</v>
      </c>
      <c r="C62">
        <v>695</v>
      </c>
      <c r="E62">
        <f>+p3_data__2[[#This Row],[IR_Value]]</f>
        <v>695</v>
      </c>
      <c r="F62">
        <f>+p3_data__2[[#This Row],[Distance]]</f>
        <v>313.60000000000002</v>
      </c>
    </row>
    <row r="63" spans="1:6" x14ac:dyDescent="0.25">
      <c r="A63">
        <v>120</v>
      </c>
      <c r="B63">
        <v>313.89999999999998</v>
      </c>
      <c r="C63">
        <v>713</v>
      </c>
      <c r="E63">
        <f>+p3_data__2[[#This Row],[IR_Value]]</f>
        <v>713</v>
      </c>
      <c r="F63">
        <f>+p3_data__2[[#This Row],[Distance]]</f>
        <v>313.89999999999998</v>
      </c>
    </row>
    <row r="64" spans="1:6" x14ac:dyDescent="0.25">
      <c r="A64">
        <v>122</v>
      </c>
      <c r="B64">
        <v>313.89999999999998</v>
      </c>
      <c r="C64">
        <v>721</v>
      </c>
      <c r="E64">
        <f>+p3_data__2[[#This Row],[IR_Value]]</f>
        <v>721</v>
      </c>
      <c r="F64">
        <f>+p3_data__2[[#This Row],[Distance]]</f>
        <v>313.89999999999998</v>
      </c>
    </row>
    <row r="65" spans="1:6" x14ac:dyDescent="0.25">
      <c r="A65">
        <v>124</v>
      </c>
      <c r="B65">
        <v>313.8</v>
      </c>
      <c r="C65">
        <v>715</v>
      </c>
      <c r="E65">
        <f>+p3_data__2[[#This Row],[IR_Value]]</f>
        <v>715</v>
      </c>
      <c r="F65">
        <f>+p3_data__2[[#This Row],[Distance]]</f>
        <v>313.8</v>
      </c>
    </row>
    <row r="66" spans="1:6" x14ac:dyDescent="0.25">
      <c r="A66">
        <v>126</v>
      </c>
      <c r="B66">
        <v>313.7</v>
      </c>
      <c r="C66">
        <v>685</v>
      </c>
      <c r="E66">
        <f>+p3_data__2[[#This Row],[IR_Value]]</f>
        <v>685</v>
      </c>
      <c r="F66">
        <f>+p3_data__2[[#This Row],[Distance]]</f>
        <v>313.7</v>
      </c>
    </row>
    <row r="67" spans="1:6" x14ac:dyDescent="0.25">
      <c r="A67">
        <v>128</v>
      </c>
      <c r="B67">
        <v>314</v>
      </c>
      <c r="C67">
        <v>649</v>
      </c>
      <c r="E67">
        <f>+p3_data__2[[#This Row],[IR_Value]]</f>
        <v>649</v>
      </c>
      <c r="F67">
        <f>+p3_data__2[[#This Row],[Distance]]</f>
        <v>314</v>
      </c>
    </row>
    <row r="68" spans="1:6" x14ac:dyDescent="0.25">
      <c r="A68">
        <v>130</v>
      </c>
      <c r="B68">
        <v>313.89999999999998</v>
      </c>
      <c r="C68">
        <v>633</v>
      </c>
      <c r="E68">
        <f>+p3_data__2[[#This Row],[IR_Value]]</f>
        <v>633</v>
      </c>
      <c r="F68">
        <f>+p3_data__2[[#This Row],[Distance]]</f>
        <v>313.89999999999998</v>
      </c>
    </row>
    <row r="69" spans="1:6" x14ac:dyDescent="0.25">
      <c r="A69">
        <v>132</v>
      </c>
      <c r="B69">
        <v>313.89999999999998</v>
      </c>
      <c r="C69">
        <v>653</v>
      </c>
      <c r="E69">
        <f>+p3_data__2[[#This Row],[IR_Value]]</f>
        <v>653</v>
      </c>
      <c r="F69">
        <f>+p3_data__2[[#This Row],[Distance]]</f>
        <v>313.89999999999998</v>
      </c>
    </row>
    <row r="70" spans="1:6" x14ac:dyDescent="0.25">
      <c r="A70">
        <v>134</v>
      </c>
      <c r="B70">
        <v>313.89999999999998</v>
      </c>
      <c r="C70">
        <v>647</v>
      </c>
      <c r="E70">
        <f>+p3_data__2[[#This Row],[IR_Value]]</f>
        <v>647</v>
      </c>
      <c r="F70">
        <f>+p3_data__2[[#This Row],[Distance]]</f>
        <v>313.89999999999998</v>
      </c>
    </row>
    <row r="71" spans="1:6" x14ac:dyDescent="0.25">
      <c r="A71">
        <v>136</v>
      </c>
      <c r="B71">
        <v>47.9</v>
      </c>
      <c r="C71">
        <v>633</v>
      </c>
      <c r="E71">
        <f>+p3_data__2[[#This Row],[IR_Value]]</f>
        <v>633</v>
      </c>
      <c r="F71">
        <f>+p3_data__2[[#This Row],[Distance]]</f>
        <v>47.9</v>
      </c>
    </row>
    <row r="72" spans="1:6" x14ac:dyDescent="0.25">
      <c r="A72">
        <v>138</v>
      </c>
      <c r="B72">
        <v>47.5</v>
      </c>
      <c r="C72">
        <v>627</v>
      </c>
      <c r="E72">
        <f>+p3_data__2[[#This Row],[IR_Value]]</f>
        <v>627</v>
      </c>
      <c r="F72">
        <f>+p3_data__2[[#This Row],[Distance]]</f>
        <v>47.5</v>
      </c>
    </row>
    <row r="73" spans="1:6" x14ac:dyDescent="0.25">
      <c r="A73">
        <v>140</v>
      </c>
      <c r="B73">
        <v>47.1</v>
      </c>
      <c r="C73">
        <v>651</v>
      </c>
      <c r="E73">
        <f>+p3_data__2[[#This Row],[IR_Value]]</f>
        <v>651</v>
      </c>
      <c r="F73">
        <f>+p3_data__2[[#This Row],[Distance]]</f>
        <v>47.1</v>
      </c>
    </row>
    <row r="74" spans="1:6" x14ac:dyDescent="0.25">
      <c r="A74">
        <v>142</v>
      </c>
      <c r="B74">
        <v>47.1</v>
      </c>
      <c r="C74">
        <v>927</v>
      </c>
      <c r="E74">
        <f>+p3_data__2[[#This Row],[IR_Value]]</f>
        <v>927</v>
      </c>
      <c r="F74">
        <f>+p3_data__2[[#This Row],[Distance]]</f>
        <v>47.1</v>
      </c>
    </row>
    <row r="75" spans="1:6" x14ac:dyDescent="0.25">
      <c r="A75">
        <v>144</v>
      </c>
      <c r="B75">
        <v>47.4</v>
      </c>
      <c r="C75">
        <v>1135</v>
      </c>
      <c r="E75">
        <f>+p3_data__2[[#This Row],[IR_Value]]</f>
        <v>1135</v>
      </c>
      <c r="F75">
        <f>+p3_data__2[[#This Row],[Distance]]</f>
        <v>47.4</v>
      </c>
    </row>
    <row r="76" spans="1:6" x14ac:dyDescent="0.25">
      <c r="A76">
        <v>146</v>
      </c>
      <c r="B76">
        <v>47.9</v>
      </c>
      <c r="C76">
        <v>1183</v>
      </c>
      <c r="E76">
        <f>+p3_data__2[[#This Row],[IR_Value]]</f>
        <v>1183</v>
      </c>
      <c r="F76">
        <f>+p3_data__2[[#This Row],[Distance]]</f>
        <v>47.9</v>
      </c>
    </row>
    <row r="77" spans="1:6" x14ac:dyDescent="0.25">
      <c r="A77">
        <v>148</v>
      </c>
      <c r="B77">
        <v>49.1</v>
      </c>
      <c r="C77">
        <v>1189</v>
      </c>
      <c r="E77">
        <f>+p3_data__2[[#This Row],[IR_Value]]</f>
        <v>1189</v>
      </c>
      <c r="F77">
        <f>+p3_data__2[[#This Row],[Distance]]</f>
        <v>49.1</v>
      </c>
    </row>
    <row r="78" spans="1:6" x14ac:dyDescent="0.25">
      <c r="A78">
        <v>150</v>
      </c>
      <c r="B78">
        <v>313.89999999999998</v>
      </c>
      <c r="C78">
        <v>1191</v>
      </c>
      <c r="E78">
        <f>+p3_data__2[[#This Row],[IR_Value]]</f>
        <v>1191</v>
      </c>
      <c r="F78">
        <f>+p3_data__2[[#This Row],[Distance]]</f>
        <v>313.89999999999998</v>
      </c>
    </row>
    <row r="79" spans="1:6" x14ac:dyDescent="0.25">
      <c r="A79">
        <v>152</v>
      </c>
      <c r="B79">
        <v>313.89999999999998</v>
      </c>
      <c r="C79">
        <v>1213</v>
      </c>
      <c r="E79">
        <f>+p3_data__2[[#This Row],[IR_Value]]</f>
        <v>1213</v>
      </c>
      <c r="F79">
        <f>+p3_data__2[[#This Row],[Distance]]</f>
        <v>313.89999999999998</v>
      </c>
    </row>
    <row r="80" spans="1:6" x14ac:dyDescent="0.25">
      <c r="A80">
        <v>154</v>
      </c>
      <c r="B80">
        <v>313.89999999999998</v>
      </c>
      <c r="C80">
        <v>1171</v>
      </c>
      <c r="E80">
        <f>+p3_data__2[[#This Row],[IR_Value]]</f>
        <v>1171</v>
      </c>
      <c r="F80">
        <f>+p3_data__2[[#This Row],[Distance]]</f>
        <v>313.89999999999998</v>
      </c>
    </row>
    <row r="81" spans="1:6" x14ac:dyDescent="0.25">
      <c r="A81">
        <v>156</v>
      </c>
      <c r="B81">
        <v>313.89999999999998</v>
      </c>
      <c r="C81">
        <v>847</v>
      </c>
      <c r="E81">
        <f>+p3_data__2[[#This Row],[IR_Value]]</f>
        <v>847</v>
      </c>
      <c r="F81">
        <f>+p3_data__2[[#This Row],[Distance]]</f>
        <v>313.89999999999998</v>
      </c>
    </row>
    <row r="82" spans="1:6" x14ac:dyDescent="0.25">
      <c r="A82">
        <v>158</v>
      </c>
      <c r="B82">
        <v>313.89999999999998</v>
      </c>
      <c r="C82">
        <v>667</v>
      </c>
      <c r="E82">
        <f>+p3_data__2[[#This Row],[IR_Value]]</f>
        <v>667</v>
      </c>
      <c r="F82">
        <f>+p3_data__2[[#This Row],[Distance]]</f>
        <v>313.89999999999998</v>
      </c>
    </row>
    <row r="83" spans="1:6" x14ac:dyDescent="0.25">
      <c r="A83">
        <v>160</v>
      </c>
      <c r="B83">
        <v>313.89999999999998</v>
      </c>
      <c r="C83">
        <v>586</v>
      </c>
      <c r="E83">
        <f>+p3_data__2[[#This Row],[IR_Value]]</f>
        <v>586</v>
      </c>
      <c r="F83">
        <f>+p3_data__2[[#This Row],[Distance]]</f>
        <v>313.89999999999998</v>
      </c>
    </row>
    <row r="84" spans="1:6" x14ac:dyDescent="0.25">
      <c r="A84">
        <v>162</v>
      </c>
      <c r="B84">
        <v>313.89999999999998</v>
      </c>
      <c r="C84">
        <v>607</v>
      </c>
      <c r="E84">
        <f>+p3_data__2[[#This Row],[IR_Value]]</f>
        <v>607</v>
      </c>
      <c r="F84">
        <f>+p3_data__2[[#This Row],[Distance]]</f>
        <v>313.89999999999998</v>
      </c>
    </row>
    <row r="85" spans="1:6" x14ac:dyDescent="0.25">
      <c r="A85">
        <v>164</v>
      </c>
      <c r="B85">
        <v>313.7</v>
      </c>
      <c r="C85">
        <v>603</v>
      </c>
      <c r="E85">
        <f>+p3_data__2[[#This Row],[IR_Value]]</f>
        <v>603</v>
      </c>
      <c r="F85">
        <f>+p3_data__2[[#This Row],[Distance]]</f>
        <v>313.7</v>
      </c>
    </row>
    <row r="86" spans="1:6" x14ac:dyDescent="0.25">
      <c r="A86">
        <v>166</v>
      </c>
      <c r="B86">
        <v>313.8</v>
      </c>
      <c r="C86">
        <v>627</v>
      </c>
      <c r="E86">
        <f>+p3_data__2[[#This Row],[IR_Value]]</f>
        <v>627</v>
      </c>
      <c r="F86">
        <f>+p3_data__2[[#This Row],[Distance]]</f>
        <v>313.8</v>
      </c>
    </row>
    <row r="87" spans="1:6" x14ac:dyDescent="0.25">
      <c r="A87">
        <v>168</v>
      </c>
      <c r="B87">
        <v>313.7</v>
      </c>
      <c r="C87">
        <v>605</v>
      </c>
      <c r="E87">
        <f>+p3_data__2[[#This Row],[IR_Value]]</f>
        <v>605</v>
      </c>
      <c r="F87">
        <f>+p3_data__2[[#This Row],[Distance]]</f>
        <v>313.7</v>
      </c>
    </row>
    <row r="88" spans="1:6" x14ac:dyDescent="0.25">
      <c r="A88">
        <v>170</v>
      </c>
      <c r="B88">
        <v>313.8</v>
      </c>
      <c r="C88">
        <v>591</v>
      </c>
      <c r="E88">
        <f>+p3_data__2[[#This Row],[IR_Value]]</f>
        <v>591</v>
      </c>
      <c r="F88">
        <f>+p3_data__2[[#This Row],[Distance]]</f>
        <v>313.8</v>
      </c>
    </row>
    <row r="89" spans="1:6" x14ac:dyDescent="0.25">
      <c r="A89">
        <v>172</v>
      </c>
      <c r="B89">
        <v>313.60000000000002</v>
      </c>
      <c r="C89">
        <v>555</v>
      </c>
      <c r="E89">
        <f>+p3_data__2[[#This Row],[IR_Value]]</f>
        <v>555</v>
      </c>
      <c r="F89">
        <f>+p3_data__2[[#This Row],[Distance]]</f>
        <v>313.60000000000002</v>
      </c>
    </row>
    <row r="90" spans="1:6" x14ac:dyDescent="0.25">
      <c r="A90">
        <v>174</v>
      </c>
      <c r="B90">
        <v>313.60000000000002</v>
      </c>
      <c r="C90">
        <v>537</v>
      </c>
      <c r="E90">
        <f>+p3_data__2[[#This Row],[IR_Value]]</f>
        <v>537</v>
      </c>
      <c r="F90">
        <f>+p3_data__2[[#This Row],[Distance]]</f>
        <v>313.60000000000002</v>
      </c>
    </row>
    <row r="91" spans="1:6" x14ac:dyDescent="0.25">
      <c r="A91">
        <v>176</v>
      </c>
      <c r="B91">
        <v>313.60000000000002</v>
      </c>
      <c r="C91">
        <v>538</v>
      </c>
      <c r="E91">
        <f>+p3_data__2[[#This Row],[IR_Value]]</f>
        <v>538</v>
      </c>
      <c r="F91">
        <f>+p3_data__2[[#This Row],[Distance]]</f>
        <v>313.60000000000002</v>
      </c>
    </row>
    <row r="92" spans="1:6" x14ac:dyDescent="0.25">
      <c r="A92">
        <v>178</v>
      </c>
      <c r="B92">
        <v>313.7</v>
      </c>
      <c r="C92">
        <v>537</v>
      </c>
      <c r="E92">
        <f>+p3_data__2[[#This Row],[IR_Value]]</f>
        <v>537</v>
      </c>
      <c r="F92">
        <f>+p3_data__2[[#This Row],[Distance]]</f>
        <v>313.7</v>
      </c>
    </row>
    <row r="93" spans="1:6" x14ac:dyDescent="0.25">
      <c r="A93">
        <v>180</v>
      </c>
      <c r="B93">
        <v>313.8</v>
      </c>
      <c r="C93">
        <v>539</v>
      </c>
      <c r="E93">
        <f>+p3_data__2[[#This Row],[IR_Value]]</f>
        <v>539</v>
      </c>
      <c r="F93">
        <f>+p3_data__2[[#This Row],[Distance]]</f>
        <v>313.8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C84E-8369-47A8-89BF-2BA79D9476FC}">
  <dimension ref="A1"/>
  <sheetViews>
    <sheetView workbookViewId="0">
      <selection sqref="A1:C93"/>
    </sheetView>
  </sheetViews>
  <sheetFormatPr defaultRowHeight="15" x14ac:dyDescent="0.25"/>
  <cols>
    <col min="1" max="1" width="7.85546875" bestFit="1" customWidth="1"/>
    <col min="2" max="3" width="10.5703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EE50-1437-488D-B4D4-1DD3A88C6B3D}">
  <dimension ref="C2:L12"/>
  <sheetViews>
    <sheetView zoomScale="150" zoomScaleNormal="150" workbookViewId="0">
      <selection activeCell="C3" sqref="C3"/>
    </sheetView>
  </sheetViews>
  <sheetFormatPr defaultRowHeight="15" x14ac:dyDescent="0.25"/>
  <sheetData>
    <row r="2" spans="3:12" x14ac:dyDescent="0.25">
      <c r="C2" t="s">
        <v>4</v>
      </c>
      <c r="D2" t="s">
        <v>3</v>
      </c>
    </row>
    <row r="3" spans="3:12" x14ac:dyDescent="0.25">
      <c r="C3">
        <v>2979</v>
      </c>
      <c r="D3">
        <v>10.3</v>
      </c>
    </row>
    <row r="4" spans="3:12" x14ac:dyDescent="0.25">
      <c r="C4">
        <v>2453</v>
      </c>
      <c r="D4">
        <v>13.4</v>
      </c>
    </row>
    <row r="5" spans="3:12" x14ac:dyDescent="0.25">
      <c r="C5">
        <v>2047</v>
      </c>
      <c r="D5">
        <v>17.8</v>
      </c>
    </row>
    <row r="6" spans="3:12" x14ac:dyDescent="0.25">
      <c r="C6">
        <v>1751</v>
      </c>
      <c r="D6">
        <v>22.1</v>
      </c>
    </row>
    <row r="7" spans="3:12" x14ac:dyDescent="0.25">
      <c r="C7">
        <v>1571</v>
      </c>
      <c r="D7">
        <v>25.9</v>
      </c>
    </row>
    <row r="8" spans="3:12" x14ac:dyDescent="0.25">
      <c r="C8">
        <v>1377</v>
      </c>
      <c r="D8">
        <v>30.8</v>
      </c>
    </row>
    <row r="9" spans="3:12" x14ac:dyDescent="0.25">
      <c r="C9">
        <v>1307</v>
      </c>
      <c r="D9">
        <v>35.4</v>
      </c>
      <c r="L9">
        <f>-0.019*(1206)+60.642</f>
        <v>37.728000000000009</v>
      </c>
    </row>
    <row r="10" spans="3:12" x14ac:dyDescent="0.25">
      <c r="C10">
        <v>1197</v>
      </c>
      <c r="D10">
        <v>39.299999999999997</v>
      </c>
    </row>
    <row r="11" spans="3:12" x14ac:dyDescent="0.25">
      <c r="C11">
        <v>1127</v>
      </c>
      <c r="D11">
        <v>43.7</v>
      </c>
    </row>
    <row r="12" spans="3:12" x14ac:dyDescent="0.25">
      <c r="C12">
        <v>1097</v>
      </c>
      <c r="D12">
        <v>47.2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E20C-5D96-496D-9E87-164D0336FC1E}">
  <dimension ref="A1:O36"/>
  <sheetViews>
    <sheetView workbookViewId="0">
      <selection activeCell="K35" sqref="K35"/>
    </sheetView>
  </sheetViews>
  <sheetFormatPr defaultRowHeight="15" x14ac:dyDescent="0.25"/>
  <cols>
    <col min="14" max="14" width="9.28515625" bestFit="1" customWidth="1"/>
  </cols>
  <sheetData>
    <row r="1" spans="1:2" x14ac:dyDescent="0.25">
      <c r="A1" t="s">
        <v>4</v>
      </c>
      <c r="B1" t="s">
        <v>1</v>
      </c>
    </row>
    <row r="2" spans="1:2" x14ac:dyDescent="0.25">
      <c r="A2">
        <v>3086</v>
      </c>
      <c r="B2">
        <v>9.4689999999999994</v>
      </c>
    </row>
    <row r="3" spans="1:2" x14ac:dyDescent="0.25">
      <c r="A3">
        <v>2437</v>
      </c>
      <c r="B3">
        <v>12.69</v>
      </c>
    </row>
    <row r="4" spans="1:2" x14ac:dyDescent="0.25">
      <c r="A4">
        <v>2121</v>
      </c>
      <c r="B4">
        <v>15.39</v>
      </c>
    </row>
    <row r="5" spans="1:2" x14ac:dyDescent="0.25">
      <c r="A5">
        <v>1974</v>
      </c>
      <c r="B5">
        <v>17.89</v>
      </c>
    </row>
    <row r="6" spans="1:2" x14ac:dyDescent="0.25">
      <c r="A6">
        <v>1821</v>
      </c>
      <c r="B6">
        <v>19.989999999999998</v>
      </c>
    </row>
    <row r="7" spans="1:2" x14ac:dyDescent="0.25">
      <c r="A7">
        <v>1645</v>
      </c>
      <c r="B7">
        <v>23.29</v>
      </c>
    </row>
    <row r="8" spans="1:2" x14ac:dyDescent="0.25">
      <c r="A8">
        <v>1503</v>
      </c>
      <c r="B8">
        <v>26.89</v>
      </c>
    </row>
    <row r="9" spans="1:2" x14ac:dyDescent="0.25">
      <c r="A9">
        <v>1433</v>
      </c>
      <c r="B9">
        <v>28.39</v>
      </c>
    </row>
    <row r="10" spans="1:2" x14ac:dyDescent="0.25">
      <c r="A10">
        <v>1343</v>
      </c>
      <c r="B10">
        <v>31.39</v>
      </c>
    </row>
    <row r="11" spans="1:2" x14ac:dyDescent="0.25">
      <c r="A11">
        <v>1327</v>
      </c>
      <c r="B11">
        <v>35.39</v>
      </c>
    </row>
    <row r="12" spans="1:2" x14ac:dyDescent="0.25">
      <c r="A12">
        <v>1207</v>
      </c>
      <c r="B12">
        <v>38.69</v>
      </c>
    </row>
    <row r="13" spans="1:2" x14ac:dyDescent="0.25">
      <c r="A13">
        <v>1199</v>
      </c>
      <c r="B13">
        <v>40.090000000000003</v>
      </c>
    </row>
    <row r="14" spans="1:2" x14ac:dyDescent="0.25">
      <c r="A14">
        <v>1141</v>
      </c>
      <c r="B14">
        <v>42.49</v>
      </c>
    </row>
    <row r="15" spans="1:2" x14ac:dyDescent="0.25">
      <c r="A15">
        <v>1135</v>
      </c>
      <c r="B15">
        <v>44.59</v>
      </c>
    </row>
    <row r="16" spans="1:2" x14ac:dyDescent="0.25">
      <c r="A16">
        <v>1095</v>
      </c>
      <c r="B16">
        <v>48.19</v>
      </c>
    </row>
    <row r="17" spans="1:2" x14ac:dyDescent="0.25">
      <c r="A17">
        <v>1048</v>
      </c>
      <c r="B17">
        <v>51.89</v>
      </c>
    </row>
    <row r="18" spans="1:2" x14ac:dyDescent="0.25">
      <c r="A18">
        <v>1700</v>
      </c>
      <c r="B18">
        <v>23.29</v>
      </c>
    </row>
    <row r="19" spans="1:2" x14ac:dyDescent="0.25">
      <c r="A19">
        <v>1529</v>
      </c>
      <c r="B19">
        <v>26.49</v>
      </c>
    </row>
    <row r="20" spans="1:2" x14ac:dyDescent="0.25">
      <c r="A20">
        <v>1379</v>
      </c>
      <c r="B20">
        <v>30.19</v>
      </c>
    </row>
    <row r="21" spans="1:2" x14ac:dyDescent="0.25">
      <c r="A21">
        <v>1311</v>
      </c>
      <c r="B21">
        <v>33.89</v>
      </c>
    </row>
    <row r="35" spans="14:15" x14ac:dyDescent="0.25">
      <c r="N35">
        <f>107.32*(EXP(-9*10^-4*(Sheet1!C3)))</f>
        <v>7.3501081364406495</v>
      </c>
      <c r="O35">
        <f>10.3-N35</f>
        <v>2.9498918635593512</v>
      </c>
    </row>
    <row r="36" spans="14:15" x14ac:dyDescent="0.25">
      <c r="N36">
        <f>-(0.0208*Sheet1!C7) + 62.753</f>
        <v>30.0762</v>
      </c>
      <c r="O36">
        <f>+N36-Sheet1!D7</f>
        <v>4.1762000000000015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4859-2224-493A-83B7-B6D396F66724}">
  <dimension ref="C2:U169"/>
  <sheetViews>
    <sheetView topLeftCell="B166" workbookViewId="0">
      <selection activeCell="R11" sqref="R11"/>
    </sheetView>
  </sheetViews>
  <sheetFormatPr defaultRowHeight="15" x14ac:dyDescent="0.25"/>
  <sheetData>
    <row r="2" spans="3:13" x14ac:dyDescent="0.25">
      <c r="C2" t="s">
        <v>4</v>
      </c>
      <c r="D2" t="s">
        <v>5</v>
      </c>
    </row>
    <row r="3" spans="3:13" x14ac:dyDescent="0.25">
      <c r="C3">
        <v>2989</v>
      </c>
      <c r="D3">
        <v>11</v>
      </c>
    </row>
    <row r="4" spans="3:13" x14ac:dyDescent="0.25">
      <c r="C4">
        <v>2986</v>
      </c>
      <c r="D4">
        <v>10.5</v>
      </c>
    </row>
    <row r="5" spans="3:13" x14ac:dyDescent="0.25">
      <c r="C5" s="2">
        <v>2975</v>
      </c>
      <c r="D5" s="2">
        <v>10.6</v>
      </c>
    </row>
    <row r="6" spans="3:13" x14ac:dyDescent="0.25">
      <c r="C6" s="2">
        <v>2991</v>
      </c>
      <c r="D6" s="2">
        <v>10.6</v>
      </c>
    </row>
    <row r="7" spans="3:13" x14ac:dyDescent="0.25">
      <c r="C7" s="1">
        <v>2801</v>
      </c>
      <c r="D7" s="1">
        <v>11.4</v>
      </c>
    </row>
    <row r="8" spans="3:13" x14ac:dyDescent="0.25">
      <c r="C8" s="1">
        <v>2795</v>
      </c>
      <c r="D8" s="1">
        <v>11.4</v>
      </c>
      <c r="G8" cm="1">
        <f t="array" ref="G8:G10">C7:C9</f>
        <v>2801</v>
      </c>
      <c r="I8" cm="1">
        <f t="array" ref="I8:I11">+C7:C10</f>
        <v>2801</v>
      </c>
    </row>
    <row r="9" spans="3:13" x14ac:dyDescent="0.25">
      <c r="C9" s="1">
        <v>2801</v>
      </c>
      <c r="D9" s="1">
        <v>11.4</v>
      </c>
      <c r="G9">
        <v>2795</v>
      </c>
      <c r="I9">
        <v>2795</v>
      </c>
    </row>
    <row r="10" spans="3:13" x14ac:dyDescent="0.25">
      <c r="C10" s="1">
        <v>2787</v>
      </c>
      <c r="D10" s="1">
        <v>11.4</v>
      </c>
      <c r="G10">
        <v>2801</v>
      </c>
      <c r="I10">
        <v>2801</v>
      </c>
      <c r="L10" t="s">
        <v>4</v>
      </c>
      <c r="M10" t="s">
        <v>5</v>
      </c>
    </row>
    <row r="11" spans="3:13" x14ac:dyDescent="0.25">
      <c r="C11" s="2">
        <v>3291</v>
      </c>
      <c r="D11" s="2">
        <v>9.5399999999999991</v>
      </c>
      <c r="I11">
        <v>2787</v>
      </c>
      <c r="L11" s="1">
        <f>AVERAGE(C7:C10)</f>
        <v>2796</v>
      </c>
      <c r="M11" s="1">
        <v>11.4</v>
      </c>
    </row>
    <row r="12" spans="3:13" x14ac:dyDescent="0.25">
      <c r="C12" s="2">
        <v>3298</v>
      </c>
      <c r="D12" s="2">
        <v>9.5399999999999991</v>
      </c>
      <c r="L12" s="2">
        <f>AVERAGE(C11:C14)</f>
        <v>3298.25</v>
      </c>
      <c r="M12" s="2">
        <v>9.5399999999999991</v>
      </c>
    </row>
    <row r="13" spans="3:13" x14ac:dyDescent="0.25">
      <c r="C13" s="2">
        <v>3305</v>
      </c>
      <c r="D13" s="2">
        <v>9.5399999999999991</v>
      </c>
      <c r="L13">
        <f>AVERAGE(C5:C6)</f>
        <v>2983</v>
      </c>
      <c r="M13">
        <v>10.6</v>
      </c>
    </row>
    <row r="14" spans="3:13" x14ac:dyDescent="0.25">
      <c r="C14" s="2">
        <v>3299</v>
      </c>
      <c r="D14" s="2">
        <v>9.5399999999999991</v>
      </c>
      <c r="L14">
        <f>AVERAGE(C17:C18)</f>
        <v>2715</v>
      </c>
      <c r="M14">
        <v>12.3</v>
      </c>
    </row>
    <row r="15" spans="3:13" x14ac:dyDescent="0.25">
      <c r="C15">
        <v>3043</v>
      </c>
      <c r="D15">
        <v>11.2</v>
      </c>
      <c r="L15">
        <f>AVERAGE(C19:C20)</f>
        <v>2565</v>
      </c>
      <c r="M15">
        <v>12.7</v>
      </c>
    </row>
    <row r="16" spans="3:13" x14ac:dyDescent="0.25">
      <c r="C16">
        <v>2857</v>
      </c>
      <c r="D16">
        <v>11.1</v>
      </c>
      <c r="L16">
        <f>AVERAGE(C21,C23)</f>
        <v>2493</v>
      </c>
      <c r="M16">
        <v>13.3</v>
      </c>
    </row>
    <row r="17" spans="3:13" x14ac:dyDescent="0.25">
      <c r="C17" s="2">
        <v>2799</v>
      </c>
      <c r="D17" s="2">
        <v>12.3</v>
      </c>
      <c r="L17">
        <f>AVERAGE(C27:C28)</f>
        <v>2378</v>
      </c>
      <c r="M17">
        <v>14.5</v>
      </c>
    </row>
    <row r="18" spans="3:13" x14ac:dyDescent="0.25">
      <c r="C18" s="2">
        <v>2631</v>
      </c>
      <c r="D18" s="2">
        <v>12.3</v>
      </c>
      <c r="L18">
        <f>AVERAGE(C30:C31)</f>
        <v>2317</v>
      </c>
      <c r="M18">
        <v>15</v>
      </c>
    </row>
    <row r="19" spans="3:13" x14ac:dyDescent="0.25">
      <c r="C19" s="2">
        <v>2567</v>
      </c>
      <c r="D19" s="2">
        <v>12.7</v>
      </c>
      <c r="L19">
        <f>AVERAGE(C35:C36)</f>
        <v>2170</v>
      </c>
      <c r="M19">
        <v>16.5</v>
      </c>
    </row>
    <row r="20" spans="3:13" x14ac:dyDescent="0.25">
      <c r="C20" s="2">
        <v>2563</v>
      </c>
      <c r="D20" s="2">
        <v>12.7</v>
      </c>
      <c r="L20">
        <f>AVERAGE(C37:C38)</f>
        <v>2154</v>
      </c>
      <c r="M20">
        <v>17.600000000000001</v>
      </c>
    </row>
    <row r="21" spans="3:13" x14ac:dyDescent="0.25">
      <c r="C21" s="2">
        <v>2495</v>
      </c>
      <c r="D21" s="2">
        <v>13.3</v>
      </c>
      <c r="L21">
        <f>AVERAGE(C41:C42)</f>
        <v>1977.5</v>
      </c>
      <c r="M21">
        <v>18.7</v>
      </c>
    </row>
    <row r="22" spans="3:13" x14ac:dyDescent="0.25">
      <c r="C22">
        <v>2489</v>
      </c>
      <c r="D22">
        <v>13.2</v>
      </c>
      <c r="L22">
        <f>AVERAGE(C44:C45,C47)</f>
        <v>1910</v>
      </c>
      <c r="M22">
        <v>19.8</v>
      </c>
    </row>
    <row r="23" spans="3:13" x14ac:dyDescent="0.25">
      <c r="C23" s="2">
        <v>2491</v>
      </c>
      <c r="D23" s="2">
        <v>13.3</v>
      </c>
      <c r="L23">
        <f>AVERAGE(C49:C50)</f>
        <v>1889</v>
      </c>
      <c r="M23">
        <v>20.100000000000001</v>
      </c>
    </row>
    <row r="24" spans="3:13" x14ac:dyDescent="0.25">
      <c r="C24">
        <v>2632</v>
      </c>
      <c r="D24">
        <v>14.7</v>
      </c>
      <c r="L24">
        <f>AVERAGE(C61,C63)</f>
        <v>1805</v>
      </c>
      <c r="M24">
        <v>23.6</v>
      </c>
    </row>
    <row r="25" spans="3:13" x14ac:dyDescent="0.25">
      <c r="C25">
        <v>2427</v>
      </c>
      <c r="D25">
        <v>14.1</v>
      </c>
      <c r="L25">
        <f>AVERAGE(C95:C96)</f>
        <v>1482</v>
      </c>
      <c r="M25">
        <v>32.1</v>
      </c>
    </row>
    <row r="26" spans="3:13" x14ac:dyDescent="0.25">
      <c r="C26">
        <v>2487</v>
      </c>
      <c r="D26">
        <v>13.5</v>
      </c>
      <c r="L26">
        <f>AVERAGE(C99:C100)</f>
        <v>1384</v>
      </c>
      <c r="M26">
        <v>33</v>
      </c>
    </row>
    <row r="27" spans="3:13" x14ac:dyDescent="0.25">
      <c r="C27" s="2">
        <v>2379</v>
      </c>
      <c r="D27" s="2">
        <v>14.5</v>
      </c>
      <c r="L27">
        <f>AVERAGE(C107,C109)</f>
        <v>1331.5</v>
      </c>
      <c r="M27">
        <v>35.299999999999997</v>
      </c>
    </row>
    <row r="28" spans="3:13" x14ac:dyDescent="0.25">
      <c r="C28" s="2">
        <v>2377</v>
      </c>
      <c r="D28" s="2">
        <v>14.5</v>
      </c>
      <c r="L28">
        <f>AVERAGE(C114,C117)</f>
        <v>1302</v>
      </c>
      <c r="M28">
        <v>37.4</v>
      </c>
    </row>
    <row r="29" spans="3:13" x14ac:dyDescent="0.25">
      <c r="C29">
        <v>2190</v>
      </c>
      <c r="D29">
        <v>16.100000000000001</v>
      </c>
      <c r="L29">
        <f>AVERAGE(C120:C121)</f>
        <v>1266</v>
      </c>
      <c r="M29">
        <v>38.799999999999997</v>
      </c>
    </row>
    <row r="30" spans="3:13" x14ac:dyDescent="0.25">
      <c r="C30" s="2">
        <v>2317</v>
      </c>
      <c r="D30" s="2">
        <v>15</v>
      </c>
      <c r="L30">
        <f>AVERAGE(C123:C124)</f>
        <v>1273</v>
      </c>
      <c r="M30">
        <v>39.6</v>
      </c>
    </row>
    <row r="31" spans="3:13" x14ac:dyDescent="0.25">
      <c r="C31" s="2">
        <v>2317</v>
      </c>
      <c r="D31" s="2">
        <v>15</v>
      </c>
      <c r="L31">
        <f>AVERAGE(C127:C128)</f>
        <v>1247</v>
      </c>
      <c r="M31">
        <v>40.700000000000003</v>
      </c>
    </row>
    <row r="32" spans="3:13" x14ac:dyDescent="0.25">
      <c r="C32">
        <v>2285</v>
      </c>
      <c r="D32">
        <v>15.4</v>
      </c>
      <c r="L32">
        <f>AVERAGE(C130:C131)</f>
        <v>1252</v>
      </c>
      <c r="M32">
        <v>41.3</v>
      </c>
    </row>
    <row r="33" spans="3:13" x14ac:dyDescent="0.25">
      <c r="C33">
        <v>2203</v>
      </c>
      <c r="D33">
        <v>16</v>
      </c>
      <c r="L33">
        <f>AVERAGE(C146:C147)</f>
        <v>1252.5</v>
      </c>
      <c r="M33">
        <v>45.8</v>
      </c>
    </row>
    <row r="34" spans="3:13" x14ac:dyDescent="0.25">
      <c r="C34">
        <v>2111</v>
      </c>
      <c r="D34">
        <v>17</v>
      </c>
      <c r="L34">
        <f>AVERAGE(C163,C165)</f>
        <v>1238</v>
      </c>
      <c r="M34">
        <v>49.5</v>
      </c>
    </row>
    <row r="35" spans="3:13" x14ac:dyDescent="0.25">
      <c r="C35" s="2">
        <v>2181</v>
      </c>
      <c r="D35" s="2">
        <v>16.5</v>
      </c>
      <c r="L35">
        <f>AVERAGE(C166:C167)</f>
        <v>1231</v>
      </c>
      <c r="M35">
        <v>50</v>
      </c>
    </row>
    <row r="36" spans="3:13" x14ac:dyDescent="0.25">
      <c r="C36" s="2">
        <v>2159</v>
      </c>
      <c r="D36" s="2">
        <v>16.5</v>
      </c>
      <c r="L36">
        <v>2989</v>
      </c>
      <c r="M36">
        <v>11</v>
      </c>
    </row>
    <row r="37" spans="3:13" x14ac:dyDescent="0.25">
      <c r="C37" s="2">
        <v>2211</v>
      </c>
      <c r="D37" s="2">
        <v>17.600000000000001</v>
      </c>
      <c r="L37">
        <v>2986</v>
      </c>
      <c r="M37">
        <v>10.5</v>
      </c>
    </row>
    <row r="38" spans="3:13" x14ac:dyDescent="0.25">
      <c r="C38" s="2">
        <v>2097</v>
      </c>
      <c r="D38" s="2">
        <v>17.600000000000001</v>
      </c>
      <c r="L38">
        <v>3043</v>
      </c>
      <c r="M38">
        <v>11.2</v>
      </c>
    </row>
    <row r="39" spans="3:13" x14ac:dyDescent="0.25">
      <c r="C39">
        <v>2069</v>
      </c>
      <c r="D39">
        <v>17.899999999999999</v>
      </c>
      <c r="L39">
        <v>2857</v>
      </c>
      <c r="M39">
        <v>11.1</v>
      </c>
    </row>
    <row r="40" spans="3:13" x14ac:dyDescent="0.25">
      <c r="C40">
        <v>1973</v>
      </c>
      <c r="D40">
        <v>18.899999999999999</v>
      </c>
      <c r="L40">
        <v>2489</v>
      </c>
      <c r="M40">
        <v>13.2</v>
      </c>
    </row>
    <row r="41" spans="3:13" x14ac:dyDescent="0.25">
      <c r="C41" s="2">
        <v>1971</v>
      </c>
      <c r="D41" s="2">
        <v>18.7</v>
      </c>
      <c r="L41">
        <v>2632</v>
      </c>
      <c r="M41">
        <v>14.7</v>
      </c>
    </row>
    <row r="42" spans="3:13" x14ac:dyDescent="0.25">
      <c r="C42" s="2">
        <v>1984</v>
      </c>
      <c r="D42" s="2">
        <v>18.7</v>
      </c>
      <c r="L42">
        <v>2427</v>
      </c>
      <c r="M42">
        <v>14.1</v>
      </c>
    </row>
    <row r="43" spans="3:13" x14ac:dyDescent="0.25">
      <c r="C43">
        <v>2025</v>
      </c>
      <c r="D43">
        <v>18.399999999999999</v>
      </c>
      <c r="L43">
        <v>2487</v>
      </c>
      <c r="M43">
        <v>13.5</v>
      </c>
    </row>
    <row r="44" spans="3:13" x14ac:dyDescent="0.25">
      <c r="C44" s="2">
        <v>1908</v>
      </c>
      <c r="D44" s="2">
        <v>19.8</v>
      </c>
      <c r="L44">
        <v>2190</v>
      </c>
      <c r="M44">
        <v>16.100000000000001</v>
      </c>
    </row>
    <row r="45" spans="3:13" x14ac:dyDescent="0.25">
      <c r="C45" s="2">
        <v>1923</v>
      </c>
      <c r="D45" s="2">
        <v>19.8</v>
      </c>
      <c r="L45">
        <v>2285</v>
      </c>
      <c r="M45">
        <v>15.4</v>
      </c>
    </row>
    <row r="46" spans="3:13" x14ac:dyDescent="0.25">
      <c r="C46">
        <v>1983</v>
      </c>
      <c r="D46">
        <v>18.899999999999999</v>
      </c>
      <c r="L46">
        <v>2203</v>
      </c>
      <c r="M46">
        <v>16</v>
      </c>
    </row>
    <row r="47" spans="3:13" x14ac:dyDescent="0.25">
      <c r="C47">
        <v>1899</v>
      </c>
      <c r="D47">
        <v>19.8</v>
      </c>
      <c r="L47">
        <v>2111</v>
      </c>
      <c r="M47">
        <v>17</v>
      </c>
    </row>
    <row r="48" spans="3:13" x14ac:dyDescent="0.25">
      <c r="C48">
        <v>2075</v>
      </c>
      <c r="D48">
        <v>19.399999999999999</v>
      </c>
      <c r="L48">
        <v>2069</v>
      </c>
      <c r="M48">
        <v>17.899999999999999</v>
      </c>
    </row>
    <row r="49" spans="3:13" x14ac:dyDescent="0.25">
      <c r="C49" s="2">
        <v>1895</v>
      </c>
      <c r="D49" s="2">
        <v>20.100000000000001</v>
      </c>
      <c r="L49">
        <v>1973</v>
      </c>
      <c r="M49">
        <v>18.899999999999999</v>
      </c>
    </row>
    <row r="50" spans="3:13" x14ac:dyDescent="0.25">
      <c r="C50" s="2">
        <v>1883</v>
      </c>
      <c r="D50" s="2">
        <v>20.100000000000001</v>
      </c>
      <c r="L50">
        <v>2025</v>
      </c>
      <c r="M50">
        <v>18.399999999999999</v>
      </c>
    </row>
    <row r="51" spans="3:13" x14ac:dyDescent="0.25">
      <c r="C51">
        <v>1867</v>
      </c>
      <c r="D51">
        <v>20.7</v>
      </c>
      <c r="L51">
        <v>1983</v>
      </c>
      <c r="M51">
        <v>18.899999999999999</v>
      </c>
    </row>
    <row r="52" spans="3:13" x14ac:dyDescent="0.25">
      <c r="C52">
        <v>1810</v>
      </c>
      <c r="D52">
        <v>21.1</v>
      </c>
      <c r="L52">
        <v>1899</v>
      </c>
      <c r="M52">
        <v>19.8</v>
      </c>
    </row>
    <row r="53" spans="3:13" x14ac:dyDescent="0.25">
      <c r="C53">
        <v>1875</v>
      </c>
      <c r="D53">
        <v>20.9</v>
      </c>
      <c r="L53">
        <v>2075</v>
      </c>
      <c r="M53">
        <v>19.399999999999999</v>
      </c>
    </row>
    <row r="54" spans="3:13" x14ac:dyDescent="0.25">
      <c r="C54">
        <v>1817</v>
      </c>
      <c r="D54">
        <v>21.2</v>
      </c>
      <c r="L54">
        <v>1867</v>
      </c>
      <c r="M54">
        <v>20.7</v>
      </c>
    </row>
    <row r="55" spans="3:13" x14ac:dyDescent="0.25">
      <c r="C55">
        <v>1977</v>
      </c>
      <c r="D55">
        <v>21.3</v>
      </c>
      <c r="L55">
        <v>1810</v>
      </c>
      <c r="M55">
        <v>21.1</v>
      </c>
    </row>
    <row r="56" spans="3:13" x14ac:dyDescent="0.25">
      <c r="C56">
        <v>1817</v>
      </c>
      <c r="D56">
        <v>21.4</v>
      </c>
      <c r="L56">
        <v>1875</v>
      </c>
      <c r="M56">
        <v>20.9</v>
      </c>
    </row>
    <row r="57" spans="3:13" x14ac:dyDescent="0.25">
      <c r="C57">
        <v>1759</v>
      </c>
      <c r="D57">
        <v>22.3</v>
      </c>
      <c r="L57">
        <v>1817</v>
      </c>
      <c r="M57">
        <v>21.2</v>
      </c>
    </row>
    <row r="58" spans="3:13" x14ac:dyDescent="0.25">
      <c r="C58">
        <v>1771</v>
      </c>
      <c r="D58">
        <v>22.4</v>
      </c>
      <c r="L58">
        <v>1977</v>
      </c>
      <c r="M58">
        <v>21.3</v>
      </c>
    </row>
    <row r="59" spans="3:13" x14ac:dyDescent="0.25">
      <c r="C59">
        <v>1721</v>
      </c>
      <c r="D59">
        <v>22.9</v>
      </c>
      <c r="L59">
        <v>1817</v>
      </c>
      <c r="M59">
        <v>21.4</v>
      </c>
    </row>
    <row r="60" spans="3:13" x14ac:dyDescent="0.25">
      <c r="C60">
        <v>1720</v>
      </c>
      <c r="D60">
        <v>22.8</v>
      </c>
      <c r="L60">
        <v>1759</v>
      </c>
      <c r="M60">
        <v>22.3</v>
      </c>
    </row>
    <row r="61" spans="3:13" x14ac:dyDescent="0.25">
      <c r="C61" s="2">
        <v>1879</v>
      </c>
      <c r="D61" s="2">
        <v>23.6</v>
      </c>
      <c r="L61">
        <v>1771</v>
      </c>
      <c r="M61">
        <v>22.4</v>
      </c>
    </row>
    <row r="62" spans="3:13" x14ac:dyDescent="0.25">
      <c r="C62">
        <v>1747</v>
      </c>
      <c r="D62">
        <v>23.1</v>
      </c>
      <c r="L62">
        <v>1721</v>
      </c>
      <c r="M62">
        <v>22.9</v>
      </c>
    </row>
    <row r="63" spans="3:13" x14ac:dyDescent="0.25">
      <c r="C63" s="2">
        <v>1731</v>
      </c>
      <c r="D63" s="2">
        <v>23.6</v>
      </c>
      <c r="L63">
        <v>1720</v>
      </c>
      <c r="M63">
        <v>22.8</v>
      </c>
    </row>
    <row r="64" spans="3:13" x14ac:dyDescent="0.25">
      <c r="C64">
        <v>1749</v>
      </c>
      <c r="D64">
        <v>23.7</v>
      </c>
      <c r="L64">
        <v>1747</v>
      </c>
      <c r="M64">
        <v>23.1</v>
      </c>
    </row>
    <row r="65" spans="3:13" x14ac:dyDescent="0.25">
      <c r="C65">
        <v>1695</v>
      </c>
      <c r="D65">
        <v>24.3</v>
      </c>
      <c r="L65">
        <v>1749</v>
      </c>
      <c r="M65">
        <v>23.7</v>
      </c>
    </row>
    <row r="66" spans="3:13" x14ac:dyDescent="0.25">
      <c r="C66">
        <v>1693</v>
      </c>
      <c r="D66">
        <v>24.4</v>
      </c>
      <c r="L66">
        <v>1695</v>
      </c>
      <c r="M66">
        <v>24.3</v>
      </c>
    </row>
    <row r="67" spans="3:13" x14ac:dyDescent="0.25">
      <c r="C67">
        <v>1669</v>
      </c>
      <c r="D67">
        <v>24.8</v>
      </c>
      <c r="L67">
        <v>1693</v>
      </c>
      <c r="M67">
        <v>24.4</v>
      </c>
    </row>
    <row r="68" spans="3:13" x14ac:dyDescent="0.25">
      <c r="C68">
        <v>1651</v>
      </c>
      <c r="D68">
        <v>24.9</v>
      </c>
      <c r="L68">
        <v>1669</v>
      </c>
      <c r="M68">
        <v>24.8</v>
      </c>
    </row>
    <row r="69" spans="3:13" x14ac:dyDescent="0.25">
      <c r="C69">
        <v>1655</v>
      </c>
      <c r="D69">
        <v>25.5</v>
      </c>
      <c r="L69">
        <v>1651</v>
      </c>
      <c r="M69">
        <v>24.9</v>
      </c>
    </row>
    <row r="70" spans="3:13" x14ac:dyDescent="0.25">
      <c r="C70">
        <v>1675</v>
      </c>
      <c r="D70">
        <v>25.3</v>
      </c>
      <c r="L70">
        <v>1655</v>
      </c>
      <c r="M70">
        <v>25.5</v>
      </c>
    </row>
    <row r="71" spans="3:13" x14ac:dyDescent="0.25">
      <c r="C71">
        <v>1647</v>
      </c>
      <c r="D71">
        <v>25.8</v>
      </c>
      <c r="L71">
        <v>1675</v>
      </c>
      <c r="M71">
        <v>25.3</v>
      </c>
    </row>
    <row r="72" spans="3:13" x14ac:dyDescent="0.25">
      <c r="C72">
        <v>1605</v>
      </c>
      <c r="D72">
        <v>26.1</v>
      </c>
      <c r="L72">
        <v>1647</v>
      </c>
      <c r="M72">
        <v>25.8</v>
      </c>
    </row>
    <row r="73" spans="3:13" x14ac:dyDescent="0.25">
      <c r="C73">
        <v>1595</v>
      </c>
      <c r="D73">
        <v>26.3</v>
      </c>
      <c r="L73">
        <v>1605</v>
      </c>
      <c r="M73">
        <v>26.1</v>
      </c>
    </row>
    <row r="74" spans="3:13" x14ac:dyDescent="0.25">
      <c r="C74">
        <v>1750</v>
      </c>
      <c r="D74">
        <v>26.5</v>
      </c>
      <c r="L74">
        <v>1595</v>
      </c>
      <c r="M74">
        <v>26.3</v>
      </c>
    </row>
    <row r="75" spans="3:13" x14ac:dyDescent="0.25">
      <c r="C75">
        <v>1585</v>
      </c>
      <c r="D75">
        <v>26.7</v>
      </c>
      <c r="L75">
        <v>1750</v>
      </c>
      <c r="M75">
        <v>26.5</v>
      </c>
    </row>
    <row r="76" spans="3:13" x14ac:dyDescent="0.25">
      <c r="C76">
        <v>1607</v>
      </c>
      <c r="D76">
        <v>27.1</v>
      </c>
      <c r="L76">
        <v>1585</v>
      </c>
      <c r="M76">
        <v>26.7</v>
      </c>
    </row>
    <row r="77" spans="3:13" x14ac:dyDescent="0.25">
      <c r="C77">
        <v>1721</v>
      </c>
      <c r="D77">
        <v>27.5</v>
      </c>
      <c r="L77">
        <v>1607</v>
      </c>
      <c r="M77">
        <v>27.1</v>
      </c>
    </row>
    <row r="78" spans="3:13" x14ac:dyDescent="0.25">
      <c r="C78">
        <v>1591</v>
      </c>
      <c r="D78">
        <v>27.8</v>
      </c>
      <c r="L78">
        <v>1721</v>
      </c>
      <c r="M78">
        <v>27.5</v>
      </c>
    </row>
    <row r="79" spans="3:13" x14ac:dyDescent="0.25">
      <c r="C79">
        <v>1529</v>
      </c>
      <c r="D79">
        <v>27.9</v>
      </c>
      <c r="L79">
        <v>1591</v>
      </c>
      <c r="M79">
        <v>27.8</v>
      </c>
    </row>
    <row r="80" spans="3:13" x14ac:dyDescent="0.25">
      <c r="C80">
        <v>1513</v>
      </c>
      <c r="D80">
        <v>28.3</v>
      </c>
      <c r="L80">
        <v>1529</v>
      </c>
      <c r="M80">
        <v>27.9</v>
      </c>
    </row>
    <row r="81" spans="3:13" x14ac:dyDescent="0.25">
      <c r="C81">
        <v>1517</v>
      </c>
      <c r="D81">
        <v>28.2</v>
      </c>
      <c r="L81">
        <v>1513</v>
      </c>
      <c r="M81">
        <v>28.3</v>
      </c>
    </row>
    <row r="82" spans="3:13" x14ac:dyDescent="0.25">
      <c r="C82">
        <v>1491</v>
      </c>
      <c r="D82">
        <v>28.6</v>
      </c>
      <c r="L82">
        <v>1517</v>
      </c>
      <c r="M82">
        <v>28.2</v>
      </c>
    </row>
    <row r="83" spans="3:13" x14ac:dyDescent="0.25">
      <c r="C83">
        <v>1499</v>
      </c>
      <c r="D83">
        <v>29</v>
      </c>
      <c r="L83">
        <v>1491</v>
      </c>
      <c r="M83">
        <v>28.6</v>
      </c>
    </row>
    <row r="84" spans="3:13" x14ac:dyDescent="0.25">
      <c r="C84">
        <v>1459</v>
      </c>
      <c r="D84">
        <v>29.8</v>
      </c>
      <c r="L84">
        <v>1499</v>
      </c>
      <c r="M84">
        <v>29</v>
      </c>
    </row>
    <row r="85" spans="3:13" x14ac:dyDescent="0.25">
      <c r="C85">
        <v>1627</v>
      </c>
      <c r="D85">
        <v>29.3</v>
      </c>
      <c r="L85">
        <v>1459</v>
      </c>
      <c r="M85">
        <v>29.8</v>
      </c>
    </row>
    <row r="86" spans="3:13" x14ac:dyDescent="0.25">
      <c r="C86">
        <v>1445</v>
      </c>
      <c r="D86">
        <v>29.7</v>
      </c>
      <c r="L86">
        <v>1627</v>
      </c>
      <c r="M86">
        <v>29.3</v>
      </c>
    </row>
    <row r="87" spans="3:13" x14ac:dyDescent="0.25">
      <c r="C87">
        <v>1459</v>
      </c>
      <c r="D87">
        <v>30.1</v>
      </c>
      <c r="L87">
        <v>1445</v>
      </c>
      <c r="M87">
        <v>29.7</v>
      </c>
    </row>
    <row r="88" spans="3:13" x14ac:dyDescent="0.25">
      <c r="C88">
        <v>1437</v>
      </c>
      <c r="D88">
        <v>30.5</v>
      </c>
      <c r="L88">
        <v>1459</v>
      </c>
      <c r="M88">
        <v>30.1</v>
      </c>
    </row>
    <row r="89" spans="3:13" x14ac:dyDescent="0.25">
      <c r="C89">
        <v>1441</v>
      </c>
      <c r="D89">
        <v>30.6</v>
      </c>
      <c r="L89">
        <v>1437</v>
      </c>
      <c r="M89">
        <v>30.5</v>
      </c>
    </row>
    <row r="90" spans="3:13" x14ac:dyDescent="0.25">
      <c r="C90">
        <v>1437</v>
      </c>
      <c r="D90">
        <v>30.9</v>
      </c>
      <c r="L90">
        <v>1441</v>
      </c>
      <c r="M90">
        <v>30.6</v>
      </c>
    </row>
    <row r="91" spans="3:13" x14ac:dyDescent="0.25">
      <c r="C91">
        <v>1417</v>
      </c>
      <c r="D91">
        <v>31.2</v>
      </c>
      <c r="L91">
        <v>1437</v>
      </c>
      <c r="M91">
        <v>30.9</v>
      </c>
    </row>
    <row r="92" spans="3:13" x14ac:dyDescent="0.25">
      <c r="C92">
        <v>1423</v>
      </c>
      <c r="D92">
        <v>31.9</v>
      </c>
      <c r="L92">
        <v>1417</v>
      </c>
      <c r="M92">
        <v>31.2</v>
      </c>
    </row>
    <row r="93" spans="3:13" x14ac:dyDescent="0.25">
      <c r="C93">
        <v>1459</v>
      </c>
      <c r="D93">
        <v>31.1</v>
      </c>
      <c r="L93">
        <v>1423</v>
      </c>
      <c r="M93">
        <v>31.9</v>
      </c>
    </row>
    <row r="94" spans="3:13" x14ac:dyDescent="0.25">
      <c r="C94">
        <v>1419</v>
      </c>
      <c r="D94">
        <v>31.5</v>
      </c>
      <c r="L94">
        <v>1459</v>
      </c>
      <c r="M94">
        <v>31.1</v>
      </c>
    </row>
    <row r="95" spans="3:13" x14ac:dyDescent="0.25">
      <c r="C95" s="2">
        <v>1397</v>
      </c>
      <c r="D95" s="2">
        <v>32.1</v>
      </c>
      <c r="L95">
        <v>1419</v>
      </c>
      <c r="M95">
        <v>31.5</v>
      </c>
    </row>
    <row r="96" spans="3:13" x14ac:dyDescent="0.25">
      <c r="C96" s="2">
        <v>1567</v>
      </c>
      <c r="D96" s="2">
        <v>32.1</v>
      </c>
      <c r="L96">
        <v>1383</v>
      </c>
      <c r="M96">
        <v>32.799999999999997</v>
      </c>
    </row>
    <row r="97" spans="3:13" x14ac:dyDescent="0.25">
      <c r="C97">
        <v>1383</v>
      </c>
      <c r="D97">
        <v>32.799999999999997</v>
      </c>
      <c r="L97">
        <v>1381</v>
      </c>
      <c r="M97">
        <v>32.700000000000003</v>
      </c>
    </row>
    <row r="98" spans="3:13" x14ac:dyDescent="0.25">
      <c r="C98">
        <v>1381</v>
      </c>
      <c r="D98">
        <v>32.700000000000003</v>
      </c>
      <c r="L98">
        <v>1363</v>
      </c>
      <c r="M98">
        <v>33.4</v>
      </c>
    </row>
    <row r="99" spans="3:13" x14ac:dyDescent="0.25">
      <c r="C99" s="2">
        <v>1385</v>
      </c>
      <c r="D99" s="2">
        <v>33</v>
      </c>
      <c r="L99">
        <v>1359</v>
      </c>
      <c r="M99">
        <v>33.5</v>
      </c>
    </row>
    <row r="100" spans="3:13" x14ac:dyDescent="0.25">
      <c r="C100" s="2">
        <v>1383</v>
      </c>
      <c r="D100" s="2">
        <v>33</v>
      </c>
      <c r="L100">
        <v>1367</v>
      </c>
      <c r="M100">
        <v>34.1</v>
      </c>
    </row>
    <row r="101" spans="3:13" x14ac:dyDescent="0.25">
      <c r="C101">
        <v>1363</v>
      </c>
      <c r="D101">
        <v>33.4</v>
      </c>
      <c r="L101">
        <v>1499</v>
      </c>
      <c r="M101">
        <v>34.299999999999997</v>
      </c>
    </row>
    <row r="102" spans="3:13" x14ac:dyDescent="0.25">
      <c r="C102">
        <v>1359</v>
      </c>
      <c r="D102">
        <v>33.5</v>
      </c>
      <c r="L102">
        <v>1505</v>
      </c>
      <c r="M102">
        <v>34.9</v>
      </c>
    </row>
    <row r="103" spans="3:13" x14ac:dyDescent="0.25">
      <c r="C103">
        <v>1367</v>
      </c>
      <c r="D103">
        <v>34.1</v>
      </c>
      <c r="L103">
        <v>1327</v>
      </c>
      <c r="M103">
        <v>35.6</v>
      </c>
    </row>
    <row r="104" spans="3:13" x14ac:dyDescent="0.25">
      <c r="C104">
        <v>1499</v>
      </c>
      <c r="D104">
        <v>34.299999999999997</v>
      </c>
      <c r="L104">
        <v>1339</v>
      </c>
      <c r="M104">
        <v>35.200000000000003</v>
      </c>
    </row>
    <row r="105" spans="3:13" x14ac:dyDescent="0.25">
      <c r="C105">
        <v>1505</v>
      </c>
      <c r="D105">
        <v>34.9</v>
      </c>
      <c r="L105">
        <v>1331</v>
      </c>
      <c r="M105">
        <v>36</v>
      </c>
    </row>
    <row r="106" spans="3:13" x14ac:dyDescent="0.25">
      <c r="C106">
        <v>1327</v>
      </c>
      <c r="D106">
        <v>35.6</v>
      </c>
      <c r="L106">
        <v>1303</v>
      </c>
      <c r="M106">
        <v>36.299999999999997</v>
      </c>
    </row>
    <row r="107" spans="3:13" x14ac:dyDescent="0.25">
      <c r="C107" s="2">
        <v>1321</v>
      </c>
      <c r="D107" s="2">
        <v>35.299999999999997</v>
      </c>
      <c r="L107">
        <v>1305</v>
      </c>
      <c r="M107">
        <v>36.4</v>
      </c>
    </row>
    <row r="108" spans="3:13" x14ac:dyDescent="0.25">
      <c r="C108">
        <v>1339</v>
      </c>
      <c r="D108">
        <v>35.200000000000003</v>
      </c>
      <c r="L108">
        <v>1305</v>
      </c>
      <c r="M108">
        <v>36.700000000000003</v>
      </c>
    </row>
    <row r="109" spans="3:13" x14ac:dyDescent="0.25">
      <c r="C109" s="2">
        <v>1342</v>
      </c>
      <c r="D109" s="2">
        <v>35.299999999999997</v>
      </c>
      <c r="L109">
        <v>1443</v>
      </c>
      <c r="M109">
        <v>37.6</v>
      </c>
    </row>
    <row r="110" spans="3:13" x14ac:dyDescent="0.25">
      <c r="C110">
        <v>1331</v>
      </c>
      <c r="D110">
        <v>36</v>
      </c>
      <c r="L110">
        <v>1305</v>
      </c>
      <c r="M110">
        <v>37.700000000000003</v>
      </c>
    </row>
    <row r="111" spans="3:13" x14ac:dyDescent="0.25">
      <c r="C111">
        <v>1303</v>
      </c>
      <c r="D111">
        <v>36.299999999999997</v>
      </c>
      <c r="L111">
        <v>1285</v>
      </c>
      <c r="M111">
        <v>38</v>
      </c>
    </row>
    <row r="112" spans="3:13" x14ac:dyDescent="0.25">
      <c r="C112">
        <v>1305</v>
      </c>
      <c r="D112">
        <v>36.4</v>
      </c>
      <c r="L112">
        <v>1293</v>
      </c>
      <c r="M112">
        <v>38.200000000000003</v>
      </c>
    </row>
    <row r="113" spans="3:13" x14ac:dyDescent="0.25">
      <c r="C113">
        <v>1305</v>
      </c>
      <c r="D113">
        <v>36.700000000000003</v>
      </c>
      <c r="L113">
        <v>1271</v>
      </c>
      <c r="M113">
        <v>39.1</v>
      </c>
    </row>
    <row r="114" spans="3:13" x14ac:dyDescent="0.25">
      <c r="C114" s="2">
        <v>1301</v>
      </c>
      <c r="D114" s="2">
        <v>37.4</v>
      </c>
      <c r="L114">
        <v>1265</v>
      </c>
      <c r="M114">
        <v>39.5</v>
      </c>
    </row>
    <row r="115" spans="3:13" x14ac:dyDescent="0.25">
      <c r="C115">
        <v>1443</v>
      </c>
      <c r="D115">
        <v>37.6</v>
      </c>
      <c r="L115">
        <v>1239</v>
      </c>
      <c r="M115">
        <v>40.4</v>
      </c>
    </row>
    <row r="116" spans="3:13" x14ac:dyDescent="0.25">
      <c r="C116">
        <v>1305</v>
      </c>
      <c r="D116">
        <v>37.700000000000003</v>
      </c>
      <c r="L116">
        <v>1401</v>
      </c>
      <c r="M116">
        <v>40.9</v>
      </c>
    </row>
    <row r="117" spans="3:13" x14ac:dyDescent="0.25">
      <c r="C117" s="2">
        <v>1303</v>
      </c>
      <c r="D117" s="2">
        <v>37.4</v>
      </c>
      <c r="L117">
        <v>1235</v>
      </c>
      <c r="M117">
        <v>41.6</v>
      </c>
    </row>
    <row r="118" spans="3:13" x14ac:dyDescent="0.25">
      <c r="C118">
        <v>1285</v>
      </c>
      <c r="D118">
        <v>38</v>
      </c>
      <c r="L118">
        <v>1235</v>
      </c>
      <c r="M118">
        <v>41.8</v>
      </c>
    </row>
    <row r="119" spans="3:13" x14ac:dyDescent="0.25">
      <c r="C119">
        <v>1293</v>
      </c>
      <c r="D119">
        <v>38.200000000000003</v>
      </c>
      <c r="L119">
        <v>1233</v>
      </c>
      <c r="M119">
        <v>42</v>
      </c>
    </row>
    <row r="120" spans="3:13" x14ac:dyDescent="0.25">
      <c r="C120" s="2">
        <v>1259</v>
      </c>
      <c r="D120" s="2">
        <v>38.799999999999997</v>
      </c>
      <c r="L120">
        <v>1221</v>
      </c>
      <c r="M120">
        <v>42.1</v>
      </c>
    </row>
    <row r="121" spans="3:13" x14ac:dyDescent="0.25">
      <c r="C121" s="2">
        <v>1273</v>
      </c>
      <c r="D121" s="2">
        <v>38.799999999999997</v>
      </c>
      <c r="L121">
        <v>1379</v>
      </c>
      <c r="M121">
        <v>42.3</v>
      </c>
    </row>
    <row r="122" spans="3:13" x14ac:dyDescent="0.25">
      <c r="C122">
        <v>1271</v>
      </c>
      <c r="D122">
        <v>39.1</v>
      </c>
      <c r="L122">
        <v>1213</v>
      </c>
      <c r="M122">
        <v>42.4</v>
      </c>
    </row>
    <row r="123" spans="3:13" x14ac:dyDescent="0.25">
      <c r="C123" s="2">
        <v>1271</v>
      </c>
      <c r="D123" s="2">
        <v>39.6</v>
      </c>
      <c r="L123">
        <v>1213</v>
      </c>
      <c r="M123">
        <v>43.2</v>
      </c>
    </row>
    <row r="124" spans="3:13" x14ac:dyDescent="0.25">
      <c r="C124" s="2">
        <v>1275</v>
      </c>
      <c r="D124" s="2">
        <v>39.6</v>
      </c>
      <c r="L124">
        <v>1205</v>
      </c>
      <c r="M124">
        <v>43.4</v>
      </c>
    </row>
    <row r="125" spans="3:13" x14ac:dyDescent="0.25">
      <c r="C125">
        <v>1265</v>
      </c>
      <c r="D125">
        <v>39.5</v>
      </c>
      <c r="L125">
        <v>1216</v>
      </c>
      <c r="M125">
        <v>43.8</v>
      </c>
    </row>
    <row r="126" spans="3:13" x14ac:dyDescent="0.25">
      <c r="C126">
        <v>1239</v>
      </c>
      <c r="D126">
        <v>40.4</v>
      </c>
      <c r="L126">
        <v>1210</v>
      </c>
      <c r="M126">
        <v>43.7</v>
      </c>
    </row>
    <row r="127" spans="3:13" x14ac:dyDescent="0.25">
      <c r="C127" s="2">
        <v>1251</v>
      </c>
      <c r="D127" s="2">
        <v>40.700000000000003</v>
      </c>
      <c r="L127">
        <v>1217</v>
      </c>
      <c r="M127">
        <v>44.1</v>
      </c>
    </row>
    <row r="128" spans="3:13" x14ac:dyDescent="0.25">
      <c r="C128" s="2">
        <v>1243</v>
      </c>
      <c r="D128" s="2">
        <v>40.700000000000003</v>
      </c>
      <c r="L128">
        <v>1367</v>
      </c>
      <c r="M128">
        <v>44</v>
      </c>
    </row>
    <row r="129" spans="3:13" x14ac:dyDescent="0.25">
      <c r="C129">
        <v>1401</v>
      </c>
      <c r="D129">
        <v>40.9</v>
      </c>
      <c r="L129">
        <v>1185</v>
      </c>
      <c r="M129">
        <v>44.3</v>
      </c>
    </row>
    <row r="130" spans="3:13" x14ac:dyDescent="0.25">
      <c r="C130" s="2">
        <v>1255</v>
      </c>
      <c r="D130" s="2">
        <v>41.3</v>
      </c>
      <c r="L130">
        <v>1179</v>
      </c>
      <c r="M130">
        <v>44.9</v>
      </c>
    </row>
    <row r="131" spans="3:13" x14ac:dyDescent="0.25">
      <c r="C131" s="2">
        <v>1249</v>
      </c>
      <c r="D131" s="2">
        <v>41.3</v>
      </c>
      <c r="L131">
        <v>1191</v>
      </c>
      <c r="M131">
        <v>45.6</v>
      </c>
    </row>
    <row r="132" spans="3:13" x14ac:dyDescent="0.25">
      <c r="C132">
        <v>1235</v>
      </c>
      <c r="D132">
        <v>41.6</v>
      </c>
      <c r="L132">
        <v>1195</v>
      </c>
      <c r="M132">
        <v>45.4</v>
      </c>
    </row>
    <row r="133" spans="3:13" x14ac:dyDescent="0.25">
      <c r="C133">
        <v>1235</v>
      </c>
      <c r="D133">
        <v>41.8</v>
      </c>
      <c r="L133">
        <v>1177</v>
      </c>
      <c r="M133">
        <v>46</v>
      </c>
    </row>
    <row r="134" spans="3:13" x14ac:dyDescent="0.25">
      <c r="C134">
        <v>1233</v>
      </c>
      <c r="D134">
        <v>42</v>
      </c>
      <c r="L134">
        <v>1173</v>
      </c>
      <c r="M134">
        <v>46.2</v>
      </c>
    </row>
    <row r="135" spans="3:13" x14ac:dyDescent="0.25">
      <c r="C135">
        <v>1221</v>
      </c>
      <c r="D135">
        <v>42.1</v>
      </c>
      <c r="L135">
        <v>1179</v>
      </c>
      <c r="M135">
        <v>46.5</v>
      </c>
    </row>
    <row r="136" spans="3:13" x14ac:dyDescent="0.25">
      <c r="C136">
        <v>1379</v>
      </c>
      <c r="D136">
        <v>42.3</v>
      </c>
      <c r="L136">
        <v>1175</v>
      </c>
      <c r="M136">
        <v>46.7</v>
      </c>
    </row>
    <row r="137" spans="3:13" x14ac:dyDescent="0.25">
      <c r="C137">
        <v>1213</v>
      </c>
      <c r="D137">
        <v>42.4</v>
      </c>
      <c r="L137">
        <v>1333</v>
      </c>
      <c r="M137">
        <v>47.3</v>
      </c>
    </row>
    <row r="138" spans="3:13" x14ac:dyDescent="0.25">
      <c r="C138">
        <v>1213</v>
      </c>
      <c r="D138">
        <v>43.2</v>
      </c>
      <c r="L138">
        <v>1171</v>
      </c>
      <c r="M138">
        <v>47.4</v>
      </c>
    </row>
    <row r="139" spans="3:13" x14ac:dyDescent="0.25">
      <c r="C139">
        <v>1205</v>
      </c>
      <c r="D139">
        <v>43.4</v>
      </c>
      <c r="L139">
        <v>1167</v>
      </c>
      <c r="M139">
        <v>47.5</v>
      </c>
    </row>
    <row r="140" spans="3:13" x14ac:dyDescent="0.25">
      <c r="C140">
        <v>1216</v>
      </c>
      <c r="D140">
        <v>43.8</v>
      </c>
      <c r="L140">
        <v>1171</v>
      </c>
      <c r="M140">
        <v>47.7</v>
      </c>
    </row>
    <row r="141" spans="3:13" x14ac:dyDescent="0.25">
      <c r="C141">
        <v>1210</v>
      </c>
      <c r="D141">
        <v>43.7</v>
      </c>
      <c r="L141">
        <v>1152</v>
      </c>
      <c r="M141">
        <v>48.3</v>
      </c>
    </row>
    <row r="142" spans="3:13" x14ac:dyDescent="0.25">
      <c r="C142">
        <v>1217</v>
      </c>
      <c r="D142">
        <v>44.1</v>
      </c>
      <c r="L142">
        <v>1327</v>
      </c>
      <c r="M142">
        <v>48.4</v>
      </c>
    </row>
    <row r="143" spans="3:13" x14ac:dyDescent="0.25">
      <c r="C143">
        <v>1367</v>
      </c>
      <c r="D143">
        <v>44</v>
      </c>
      <c r="L143">
        <v>1155</v>
      </c>
      <c r="M143">
        <v>48.6</v>
      </c>
    </row>
    <row r="144" spans="3:13" x14ac:dyDescent="0.25">
      <c r="C144">
        <v>1185</v>
      </c>
      <c r="D144">
        <v>44.3</v>
      </c>
      <c r="L144">
        <v>1161</v>
      </c>
      <c r="M144">
        <v>48.9</v>
      </c>
    </row>
    <row r="145" spans="3:21" x14ac:dyDescent="0.25">
      <c r="C145">
        <v>1179</v>
      </c>
      <c r="D145">
        <v>44.9</v>
      </c>
      <c r="L145">
        <v>1157</v>
      </c>
      <c r="M145">
        <v>49.1</v>
      </c>
    </row>
    <row r="146" spans="3:21" x14ac:dyDescent="0.25">
      <c r="C146" s="2">
        <v>1179</v>
      </c>
      <c r="D146" s="2">
        <v>45.8</v>
      </c>
      <c r="L146">
        <v>1155</v>
      </c>
      <c r="M146">
        <v>49.6</v>
      </c>
    </row>
    <row r="147" spans="3:21" x14ac:dyDescent="0.25">
      <c r="C147" s="2">
        <v>1326</v>
      </c>
      <c r="D147" s="2">
        <v>45.8</v>
      </c>
      <c r="L147">
        <v>1295</v>
      </c>
      <c r="M147">
        <v>50.2</v>
      </c>
    </row>
    <row r="148" spans="3:21" x14ac:dyDescent="0.25">
      <c r="C148">
        <v>1191</v>
      </c>
      <c r="D148">
        <v>45.6</v>
      </c>
      <c r="L148">
        <v>1153</v>
      </c>
      <c r="M148">
        <v>50.3</v>
      </c>
    </row>
    <row r="149" spans="3:21" x14ac:dyDescent="0.25">
      <c r="C149">
        <v>1195</v>
      </c>
      <c r="D149">
        <v>45.4</v>
      </c>
      <c r="P149">
        <f>T149</f>
        <v>0</v>
      </c>
    </row>
    <row r="150" spans="3:21" x14ac:dyDescent="0.25">
      <c r="C150">
        <v>1177</v>
      </c>
      <c r="D150">
        <v>46</v>
      </c>
    </row>
    <row r="151" spans="3:21" x14ac:dyDescent="0.25">
      <c r="C151">
        <v>1173</v>
      </c>
      <c r="D151">
        <v>46.2</v>
      </c>
    </row>
    <row r="152" spans="3:21" x14ac:dyDescent="0.25">
      <c r="C152">
        <v>1179</v>
      </c>
      <c r="D152">
        <v>46.5</v>
      </c>
    </row>
    <row r="153" spans="3:21" ht="58.5" x14ac:dyDescent="0.85">
      <c r="C153">
        <v>1175</v>
      </c>
      <c r="D153">
        <v>46.7</v>
      </c>
      <c r="T153" s="3" t="s">
        <v>6</v>
      </c>
    </row>
    <row r="154" spans="3:21" x14ac:dyDescent="0.25">
      <c r="C154">
        <v>1333</v>
      </c>
      <c r="D154">
        <v>47.3</v>
      </c>
    </row>
    <row r="155" spans="3:21" x14ac:dyDescent="0.25">
      <c r="C155">
        <v>1171</v>
      </c>
      <c r="D155">
        <v>47.4</v>
      </c>
    </row>
    <row r="156" spans="3:21" x14ac:dyDescent="0.25">
      <c r="C156">
        <v>1167</v>
      </c>
      <c r="D156">
        <v>47.5</v>
      </c>
    </row>
    <row r="157" spans="3:21" x14ac:dyDescent="0.25">
      <c r="C157">
        <v>1171</v>
      </c>
      <c r="D157">
        <v>47.7</v>
      </c>
    </row>
    <row r="158" spans="3:21" x14ac:dyDescent="0.25">
      <c r="C158">
        <v>1152</v>
      </c>
      <c r="D158">
        <v>48.3</v>
      </c>
    </row>
    <row r="159" spans="3:21" x14ac:dyDescent="0.25">
      <c r="C159">
        <v>1327</v>
      </c>
      <c r="D159">
        <v>48.4</v>
      </c>
    </row>
    <row r="160" spans="3:21" x14ac:dyDescent="0.25">
      <c r="C160">
        <v>1155</v>
      </c>
      <c r="D160">
        <v>48.6</v>
      </c>
      <c r="T160">
        <f>125*(EXP(-9*10^-4*(1233)))</f>
        <v>41.207230449393492</v>
      </c>
      <c r="U160">
        <f>T160-42</f>
        <v>-0.79276955060650778</v>
      </c>
    </row>
    <row r="161" spans="3:21" x14ac:dyDescent="0.25">
      <c r="C161">
        <v>1161</v>
      </c>
      <c r="D161">
        <v>48.9</v>
      </c>
    </row>
    <row r="162" spans="3:21" x14ac:dyDescent="0.25">
      <c r="C162">
        <v>1157</v>
      </c>
      <c r="D162">
        <v>49.1</v>
      </c>
      <c r="T162">
        <f>125*(EXP(-9*10^-4*(1285)))</f>
        <v>39.323163107579227</v>
      </c>
      <c r="U162">
        <f>T162-38</f>
        <v>1.3231631075792265</v>
      </c>
    </row>
    <row r="163" spans="3:21" x14ac:dyDescent="0.25">
      <c r="C163" s="2">
        <v>1149</v>
      </c>
      <c r="D163" s="2">
        <v>49.5</v>
      </c>
    </row>
    <row r="164" spans="3:21" x14ac:dyDescent="0.25">
      <c r="C164">
        <v>1155</v>
      </c>
      <c r="D164">
        <v>49.6</v>
      </c>
      <c r="T164">
        <f>116.08*(EXP(-9*10^-4*(1655)))</f>
        <v>26.17434175464788</v>
      </c>
      <c r="U164">
        <f>T164-25.5</f>
        <v>0.67434175464788026</v>
      </c>
    </row>
    <row r="165" spans="3:21" x14ac:dyDescent="0.25">
      <c r="C165" s="2">
        <v>1327</v>
      </c>
      <c r="D165" s="2">
        <v>49.5</v>
      </c>
    </row>
    <row r="166" spans="3:21" x14ac:dyDescent="0.25">
      <c r="C166" s="2">
        <v>1153</v>
      </c>
      <c r="D166" s="2">
        <v>50</v>
      </c>
    </row>
    <row r="167" spans="3:21" x14ac:dyDescent="0.25">
      <c r="C167" s="2">
        <v>1309</v>
      </c>
      <c r="D167" s="2">
        <v>50</v>
      </c>
    </row>
    <row r="168" spans="3:21" x14ac:dyDescent="0.25">
      <c r="C168">
        <v>1295</v>
      </c>
      <c r="D168">
        <v>50.2</v>
      </c>
    </row>
    <row r="169" spans="3:21" x14ac:dyDescent="0.25">
      <c r="C169">
        <v>1153</v>
      </c>
      <c r="D169">
        <v>50.3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2BBD-EC1E-46DF-B800-C513057B8178}">
  <dimension ref="C1:L185"/>
  <sheetViews>
    <sheetView tabSelected="1" topLeftCell="A86" workbookViewId="0">
      <selection activeCell="F96" sqref="F96"/>
    </sheetView>
  </sheetViews>
  <sheetFormatPr defaultRowHeight="15" x14ac:dyDescent="0.25"/>
  <sheetData>
    <row r="1" spans="3:12" x14ac:dyDescent="0.25">
      <c r="C1" t="s">
        <v>8</v>
      </c>
    </row>
    <row r="5" spans="3:12" x14ac:dyDescent="0.25">
      <c r="C5" t="s">
        <v>9</v>
      </c>
      <c r="D5" t="s">
        <v>7</v>
      </c>
      <c r="E5" s="4" t="s">
        <v>13</v>
      </c>
    </row>
    <row r="7" spans="3:12" x14ac:dyDescent="0.25">
      <c r="C7" t="s">
        <v>10</v>
      </c>
      <c r="D7" t="s">
        <v>11</v>
      </c>
      <c r="E7" t="s">
        <v>12</v>
      </c>
      <c r="L7" t="s">
        <v>14</v>
      </c>
    </row>
    <row r="8" spans="3:12" x14ac:dyDescent="0.25">
      <c r="C8">
        <v>3438</v>
      </c>
      <c r="D8">
        <v>4.7</v>
      </c>
      <c r="E8">
        <v>10.7</v>
      </c>
      <c r="L8" t="s">
        <v>15</v>
      </c>
    </row>
    <row r="9" spans="3:12" x14ac:dyDescent="0.25">
      <c r="C9">
        <v>3529</v>
      </c>
      <c r="D9">
        <v>4.8</v>
      </c>
      <c r="E9">
        <v>11.7</v>
      </c>
      <c r="L9" t="s">
        <v>16</v>
      </c>
    </row>
    <row r="10" spans="3:12" x14ac:dyDescent="0.25">
      <c r="C10">
        <v>3732</v>
      </c>
      <c r="E10">
        <v>15.4</v>
      </c>
      <c r="L10" t="s">
        <v>17</v>
      </c>
    </row>
    <row r="11" spans="3:12" x14ac:dyDescent="0.25">
      <c r="C11">
        <v>3851</v>
      </c>
      <c r="E11">
        <v>19.100000000000001</v>
      </c>
      <c r="L11" t="s">
        <v>18</v>
      </c>
    </row>
    <row r="12" spans="3:12" x14ac:dyDescent="0.25">
      <c r="C12">
        <v>3843</v>
      </c>
      <c r="E12">
        <v>18.8</v>
      </c>
      <c r="L12" t="s">
        <v>19</v>
      </c>
    </row>
    <row r="13" spans="3:12" x14ac:dyDescent="0.25">
      <c r="L13" t="s">
        <v>20</v>
      </c>
    </row>
    <row r="14" spans="3:12" x14ac:dyDescent="0.25">
      <c r="L14" t="s">
        <v>21</v>
      </c>
    </row>
    <row r="15" spans="3:12" x14ac:dyDescent="0.25">
      <c r="L15" t="s">
        <v>22</v>
      </c>
    </row>
    <row r="16" spans="3:12" x14ac:dyDescent="0.25">
      <c r="L16" t="s">
        <v>23</v>
      </c>
    </row>
    <row r="17" spans="12:12" x14ac:dyDescent="0.25">
      <c r="L17" t="s">
        <v>24</v>
      </c>
    </row>
    <row r="18" spans="12:12" x14ac:dyDescent="0.25">
      <c r="L18" t="s">
        <v>25</v>
      </c>
    </row>
    <row r="19" spans="12:12" x14ac:dyDescent="0.25">
      <c r="L19" t="s">
        <v>26</v>
      </c>
    </row>
    <row r="20" spans="12:12" x14ac:dyDescent="0.25">
      <c r="L20" t="s">
        <v>27</v>
      </c>
    </row>
    <row r="21" spans="12:12" x14ac:dyDescent="0.25">
      <c r="L21" t="s">
        <v>28</v>
      </c>
    </row>
    <row r="22" spans="12:12" x14ac:dyDescent="0.25">
      <c r="L22" t="s">
        <v>29</v>
      </c>
    </row>
    <row r="23" spans="12:12" x14ac:dyDescent="0.25">
      <c r="L23" t="s">
        <v>30</v>
      </c>
    </row>
    <row r="24" spans="12:12" x14ac:dyDescent="0.25">
      <c r="L24" t="s">
        <v>31</v>
      </c>
    </row>
    <row r="25" spans="12:12" x14ac:dyDescent="0.25">
      <c r="L25" t="s">
        <v>32</v>
      </c>
    </row>
    <row r="26" spans="12:12" x14ac:dyDescent="0.25">
      <c r="L26" t="s">
        <v>33</v>
      </c>
    </row>
    <row r="27" spans="12:12" x14ac:dyDescent="0.25">
      <c r="L27" t="s">
        <v>34</v>
      </c>
    </row>
    <row r="28" spans="12:12" x14ac:dyDescent="0.25">
      <c r="L28" t="s">
        <v>35</v>
      </c>
    </row>
    <row r="29" spans="12:12" x14ac:dyDescent="0.25">
      <c r="L29" t="s">
        <v>36</v>
      </c>
    </row>
    <row r="30" spans="12:12" x14ac:dyDescent="0.25">
      <c r="L30" t="s">
        <v>37</v>
      </c>
    </row>
    <row r="31" spans="12:12" x14ac:dyDescent="0.25">
      <c r="L31" t="s">
        <v>38</v>
      </c>
    </row>
    <row r="32" spans="12:12" x14ac:dyDescent="0.25">
      <c r="L32" t="s">
        <v>39</v>
      </c>
    </row>
    <row r="33" spans="12:12" x14ac:dyDescent="0.25">
      <c r="L33" t="s">
        <v>40</v>
      </c>
    </row>
    <row r="34" spans="12:12" x14ac:dyDescent="0.25">
      <c r="L34" t="s">
        <v>41</v>
      </c>
    </row>
    <row r="35" spans="12:12" x14ac:dyDescent="0.25">
      <c r="L35" t="s">
        <v>42</v>
      </c>
    </row>
    <row r="36" spans="12:12" x14ac:dyDescent="0.25">
      <c r="L36" t="s">
        <v>43</v>
      </c>
    </row>
    <row r="37" spans="12:12" x14ac:dyDescent="0.25">
      <c r="L37" t="s">
        <v>44</v>
      </c>
    </row>
    <row r="38" spans="12:12" x14ac:dyDescent="0.25">
      <c r="L38" t="s">
        <v>45</v>
      </c>
    </row>
    <row r="39" spans="12:12" x14ac:dyDescent="0.25">
      <c r="L39" t="s">
        <v>46</v>
      </c>
    </row>
    <row r="40" spans="12:12" x14ac:dyDescent="0.25">
      <c r="L40" t="s">
        <v>47</v>
      </c>
    </row>
    <row r="41" spans="12:12" x14ac:dyDescent="0.25">
      <c r="L41" t="s">
        <v>48</v>
      </c>
    </row>
    <row r="42" spans="12:12" x14ac:dyDescent="0.25">
      <c r="L42" t="s">
        <v>49</v>
      </c>
    </row>
    <row r="43" spans="12:12" x14ac:dyDescent="0.25">
      <c r="L43" t="s">
        <v>50</v>
      </c>
    </row>
    <row r="44" spans="12:12" x14ac:dyDescent="0.25">
      <c r="L44" t="s">
        <v>51</v>
      </c>
    </row>
    <row r="45" spans="12:12" x14ac:dyDescent="0.25">
      <c r="L45" t="s">
        <v>52</v>
      </c>
    </row>
    <row r="46" spans="12:12" x14ac:dyDescent="0.25">
      <c r="L46" t="s">
        <v>53</v>
      </c>
    </row>
    <row r="47" spans="12:12" x14ac:dyDescent="0.25">
      <c r="L47" t="s">
        <v>54</v>
      </c>
    </row>
    <row r="48" spans="12:12" x14ac:dyDescent="0.25">
      <c r="L48" t="s">
        <v>55</v>
      </c>
    </row>
    <row r="49" spans="12:12" x14ac:dyDescent="0.25">
      <c r="L49" t="s">
        <v>56</v>
      </c>
    </row>
    <row r="50" spans="12:12" x14ac:dyDescent="0.25">
      <c r="L50" t="s">
        <v>57</v>
      </c>
    </row>
    <row r="51" spans="12:12" x14ac:dyDescent="0.25">
      <c r="L51" t="s">
        <v>58</v>
      </c>
    </row>
    <row r="52" spans="12:12" x14ac:dyDescent="0.25">
      <c r="L52" t="s">
        <v>59</v>
      </c>
    </row>
    <row r="53" spans="12:12" x14ac:dyDescent="0.25">
      <c r="L53" t="s">
        <v>60</v>
      </c>
    </row>
    <row r="54" spans="12:12" x14ac:dyDescent="0.25">
      <c r="L54" t="s">
        <v>61</v>
      </c>
    </row>
    <row r="55" spans="12:12" x14ac:dyDescent="0.25">
      <c r="L55" t="s">
        <v>62</v>
      </c>
    </row>
    <row r="56" spans="12:12" x14ac:dyDescent="0.25">
      <c r="L56" t="s">
        <v>63</v>
      </c>
    </row>
    <row r="57" spans="12:12" x14ac:dyDescent="0.25">
      <c r="L57" t="s">
        <v>64</v>
      </c>
    </row>
    <row r="58" spans="12:12" x14ac:dyDescent="0.25">
      <c r="L58" t="s">
        <v>65</v>
      </c>
    </row>
    <row r="59" spans="12:12" x14ac:dyDescent="0.25">
      <c r="L59" t="s">
        <v>66</v>
      </c>
    </row>
    <row r="60" spans="12:12" x14ac:dyDescent="0.25">
      <c r="L60" t="s">
        <v>67</v>
      </c>
    </row>
    <row r="61" spans="12:12" x14ac:dyDescent="0.25">
      <c r="L61" t="s">
        <v>68</v>
      </c>
    </row>
    <row r="62" spans="12:12" x14ac:dyDescent="0.25">
      <c r="L62" t="s">
        <v>69</v>
      </c>
    </row>
    <row r="63" spans="12:12" x14ac:dyDescent="0.25">
      <c r="L63" t="s">
        <v>70</v>
      </c>
    </row>
    <row r="64" spans="12:12" x14ac:dyDescent="0.25">
      <c r="L64" t="s">
        <v>71</v>
      </c>
    </row>
    <row r="65" spans="12:12" x14ac:dyDescent="0.25">
      <c r="L65" t="s">
        <v>72</v>
      </c>
    </row>
    <row r="66" spans="12:12" x14ac:dyDescent="0.25">
      <c r="L66" t="s">
        <v>73</v>
      </c>
    </row>
    <row r="67" spans="12:12" x14ac:dyDescent="0.25">
      <c r="L67" t="s">
        <v>74</v>
      </c>
    </row>
    <row r="68" spans="12:12" x14ac:dyDescent="0.25">
      <c r="L68" t="s">
        <v>75</v>
      </c>
    </row>
    <row r="69" spans="12:12" x14ac:dyDescent="0.25">
      <c r="L69" t="s">
        <v>76</v>
      </c>
    </row>
    <row r="70" spans="12:12" x14ac:dyDescent="0.25">
      <c r="L70" t="s">
        <v>77</v>
      </c>
    </row>
    <row r="71" spans="12:12" x14ac:dyDescent="0.25">
      <c r="L71" t="s">
        <v>78</v>
      </c>
    </row>
    <row r="72" spans="12:12" x14ac:dyDescent="0.25">
      <c r="L72" t="s">
        <v>79</v>
      </c>
    </row>
    <row r="73" spans="12:12" x14ac:dyDescent="0.25">
      <c r="L73" t="s">
        <v>80</v>
      </c>
    </row>
    <row r="74" spans="12:12" x14ac:dyDescent="0.25">
      <c r="L74" t="s">
        <v>81</v>
      </c>
    </row>
    <row r="75" spans="12:12" x14ac:dyDescent="0.25">
      <c r="L75" t="s">
        <v>82</v>
      </c>
    </row>
    <row r="76" spans="12:12" x14ac:dyDescent="0.25">
      <c r="L76" t="s">
        <v>83</v>
      </c>
    </row>
    <row r="77" spans="12:12" x14ac:dyDescent="0.25">
      <c r="L77" t="s">
        <v>84</v>
      </c>
    </row>
    <row r="78" spans="12:12" x14ac:dyDescent="0.25">
      <c r="L78" t="s">
        <v>85</v>
      </c>
    </row>
    <row r="79" spans="12:12" x14ac:dyDescent="0.25">
      <c r="L79" t="s">
        <v>86</v>
      </c>
    </row>
    <row r="80" spans="12:12" x14ac:dyDescent="0.25">
      <c r="L80" t="s">
        <v>87</v>
      </c>
    </row>
    <row r="81" spans="12:12" x14ac:dyDescent="0.25">
      <c r="L81" t="s">
        <v>88</v>
      </c>
    </row>
    <row r="82" spans="12:12" x14ac:dyDescent="0.25">
      <c r="L82" t="s">
        <v>89</v>
      </c>
    </row>
    <row r="83" spans="12:12" x14ac:dyDescent="0.25">
      <c r="L83" t="s">
        <v>90</v>
      </c>
    </row>
    <row r="84" spans="12:12" x14ac:dyDescent="0.25">
      <c r="L84" t="s">
        <v>91</v>
      </c>
    </row>
    <row r="85" spans="12:12" x14ac:dyDescent="0.25">
      <c r="L85" t="s">
        <v>92</v>
      </c>
    </row>
    <row r="86" spans="12:12" x14ac:dyDescent="0.25">
      <c r="L86" t="s">
        <v>93</v>
      </c>
    </row>
    <row r="87" spans="12:12" x14ac:dyDescent="0.25">
      <c r="L87" t="s">
        <v>94</v>
      </c>
    </row>
    <row r="88" spans="12:12" x14ac:dyDescent="0.25">
      <c r="L88" t="s">
        <v>95</v>
      </c>
    </row>
    <row r="89" spans="12:12" x14ac:dyDescent="0.25">
      <c r="L89" t="s">
        <v>96</v>
      </c>
    </row>
    <row r="90" spans="12:12" x14ac:dyDescent="0.25">
      <c r="L90" t="s">
        <v>97</v>
      </c>
    </row>
    <row r="91" spans="12:12" x14ac:dyDescent="0.25">
      <c r="L91" t="s">
        <v>98</v>
      </c>
    </row>
    <row r="92" spans="12:12" x14ac:dyDescent="0.25">
      <c r="L92" t="s">
        <v>99</v>
      </c>
    </row>
    <row r="93" spans="12:12" x14ac:dyDescent="0.25">
      <c r="L93" t="s">
        <v>100</v>
      </c>
    </row>
    <row r="94" spans="12:12" x14ac:dyDescent="0.25">
      <c r="L94" t="s">
        <v>101</v>
      </c>
    </row>
    <row r="95" spans="12:12" x14ac:dyDescent="0.25">
      <c r="L95" t="s">
        <v>102</v>
      </c>
    </row>
    <row r="96" spans="12:12" x14ac:dyDescent="0.25">
      <c r="L96" t="s">
        <v>103</v>
      </c>
    </row>
    <row r="97" spans="6:12" x14ac:dyDescent="0.25">
      <c r="F97" t="s">
        <v>17</v>
      </c>
      <c r="L97" t="s">
        <v>104</v>
      </c>
    </row>
    <row r="98" spans="6:12" x14ac:dyDescent="0.25">
      <c r="F98" t="s">
        <v>18</v>
      </c>
      <c r="L98" t="s">
        <v>105</v>
      </c>
    </row>
    <row r="99" spans="6:12" x14ac:dyDescent="0.25">
      <c r="F99" t="s">
        <v>19</v>
      </c>
    </row>
    <row r="100" spans="6:12" x14ac:dyDescent="0.25">
      <c r="F100" t="s">
        <v>20</v>
      </c>
    </row>
    <row r="101" spans="6:12" x14ac:dyDescent="0.25">
      <c r="F101" t="s">
        <v>21</v>
      </c>
    </row>
    <row r="102" spans="6:12" x14ac:dyDescent="0.25">
      <c r="F102" t="s">
        <v>22</v>
      </c>
    </row>
    <row r="103" spans="6:12" x14ac:dyDescent="0.25">
      <c r="F103" t="s">
        <v>23</v>
      </c>
    </row>
    <row r="104" spans="6:12" x14ac:dyDescent="0.25">
      <c r="F104" t="s">
        <v>24</v>
      </c>
    </row>
    <row r="105" spans="6:12" x14ac:dyDescent="0.25">
      <c r="F105" t="s">
        <v>25</v>
      </c>
    </row>
    <row r="106" spans="6:12" x14ac:dyDescent="0.25">
      <c r="F106" t="s">
        <v>26</v>
      </c>
    </row>
    <row r="107" spans="6:12" x14ac:dyDescent="0.25">
      <c r="F107" t="s">
        <v>27</v>
      </c>
    </row>
    <row r="108" spans="6:12" x14ac:dyDescent="0.25">
      <c r="F108" t="s">
        <v>28</v>
      </c>
    </row>
    <row r="109" spans="6:12" x14ac:dyDescent="0.25">
      <c r="F109" t="s">
        <v>29</v>
      </c>
    </row>
    <row r="110" spans="6:12" x14ac:dyDescent="0.25">
      <c r="F110" t="s">
        <v>30</v>
      </c>
    </row>
    <row r="111" spans="6:12" x14ac:dyDescent="0.25">
      <c r="F111" t="s">
        <v>31</v>
      </c>
    </row>
    <row r="112" spans="6:12" x14ac:dyDescent="0.25">
      <c r="F112" t="s">
        <v>32</v>
      </c>
    </row>
    <row r="113" spans="6:6" x14ac:dyDescent="0.25">
      <c r="F113" t="s">
        <v>33</v>
      </c>
    </row>
    <row r="114" spans="6:6" x14ac:dyDescent="0.25">
      <c r="F114" t="s">
        <v>34</v>
      </c>
    </row>
    <row r="115" spans="6:6" x14ac:dyDescent="0.25">
      <c r="F115" t="s">
        <v>35</v>
      </c>
    </row>
    <row r="116" spans="6:6" x14ac:dyDescent="0.25">
      <c r="F116" t="s">
        <v>36</v>
      </c>
    </row>
    <row r="117" spans="6:6" x14ac:dyDescent="0.25">
      <c r="F117" t="s">
        <v>37</v>
      </c>
    </row>
    <row r="118" spans="6:6" x14ac:dyDescent="0.25">
      <c r="F118" t="s">
        <v>38</v>
      </c>
    </row>
    <row r="119" spans="6:6" x14ac:dyDescent="0.25">
      <c r="F119" t="s">
        <v>39</v>
      </c>
    </row>
    <row r="120" spans="6:6" x14ac:dyDescent="0.25">
      <c r="F120" t="s">
        <v>40</v>
      </c>
    </row>
    <row r="121" spans="6:6" x14ac:dyDescent="0.25">
      <c r="F121" t="s">
        <v>41</v>
      </c>
    </row>
    <row r="122" spans="6:6" x14ac:dyDescent="0.25">
      <c r="F122" t="s">
        <v>42</v>
      </c>
    </row>
    <row r="123" spans="6:6" x14ac:dyDescent="0.25">
      <c r="F123" t="s">
        <v>43</v>
      </c>
    </row>
    <row r="124" spans="6:6" x14ac:dyDescent="0.25">
      <c r="F124" t="s">
        <v>44</v>
      </c>
    </row>
    <row r="125" spans="6:6" x14ac:dyDescent="0.25">
      <c r="F125" t="s">
        <v>45</v>
      </c>
    </row>
    <row r="126" spans="6:6" x14ac:dyDescent="0.25">
      <c r="F126" t="s">
        <v>46</v>
      </c>
    </row>
    <row r="127" spans="6:6" x14ac:dyDescent="0.25">
      <c r="F127" t="s">
        <v>47</v>
      </c>
    </row>
    <row r="128" spans="6:6" x14ac:dyDescent="0.25">
      <c r="F128" t="s">
        <v>48</v>
      </c>
    </row>
    <row r="129" spans="6:6" x14ac:dyDescent="0.25">
      <c r="F129" t="s">
        <v>49</v>
      </c>
    </row>
    <row r="130" spans="6:6" x14ac:dyDescent="0.25">
      <c r="F130" t="s">
        <v>50</v>
      </c>
    </row>
    <row r="131" spans="6:6" x14ac:dyDescent="0.25">
      <c r="F131" t="s">
        <v>51</v>
      </c>
    </row>
    <row r="132" spans="6:6" x14ac:dyDescent="0.25">
      <c r="F132" t="s">
        <v>52</v>
      </c>
    </row>
    <row r="133" spans="6:6" x14ac:dyDescent="0.25">
      <c r="F133" t="s">
        <v>53</v>
      </c>
    </row>
    <row r="134" spans="6:6" x14ac:dyDescent="0.25">
      <c r="F134" t="s">
        <v>54</v>
      </c>
    </row>
    <row r="135" spans="6:6" x14ac:dyDescent="0.25">
      <c r="F135" t="s">
        <v>55</v>
      </c>
    </row>
    <row r="136" spans="6:6" x14ac:dyDescent="0.25">
      <c r="F136" t="s">
        <v>56</v>
      </c>
    </row>
    <row r="137" spans="6:6" x14ac:dyDescent="0.25">
      <c r="F137" t="s">
        <v>57</v>
      </c>
    </row>
    <row r="138" spans="6:6" x14ac:dyDescent="0.25">
      <c r="F138" t="s">
        <v>58</v>
      </c>
    </row>
    <row r="139" spans="6:6" x14ac:dyDescent="0.25">
      <c r="F139" t="s">
        <v>59</v>
      </c>
    </row>
    <row r="140" spans="6:6" x14ac:dyDescent="0.25">
      <c r="F140" t="s">
        <v>60</v>
      </c>
    </row>
    <row r="141" spans="6:6" x14ac:dyDescent="0.25">
      <c r="F141" t="s">
        <v>61</v>
      </c>
    </row>
    <row r="142" spans="6:6" x14ac:dyDescent="0.25">
      <c r="F142" t="s">
        <v>62</v>
      </c>
    </row>
    <row r="143" spans="6:6" x14ac:dyDescent="0.25">
      <c r="F143" t="s">
        <v>63</v>
      </c>
    </row>
    <row r="144" spans="6:6" x14ac:dyDescent="0.25">
      <c r="F144" t="s">
        <v>64</v>
      </c>
    </row>
    <row r="145" spans="6:6" x14ac:dyDescent="0.25">
      <c r="F145" t="s">
        <v>65</v>
      </c>
    </row>
    <row r="146" spans="6:6" x14ac:dyDescent="0.25">
      <c r="F146" t="s">
        <v>66</v>
      </c>
    </row>
    <row r="147" spans="6:6" x14ac:dyDescent="0.25">
      <c r="F147" t="s">
        <v>67</v>
      </c>
    </row>
    <row r="148" spans="6:6" x14ac:dyDescent="0.25">
      <c r="F148" t="s">
        <v>68</v>
      </c>
    </row>
    <row r="149" spans="6:6" x14ac:dyDescent="0.25">
      <c r="F149" t="s">
        <v>69</v>
      </c>
    </row>
    <row r="150" spans="6:6" x14ac:dyDescent="0.25">
      <c r="F150" t="s">
        <v>70</v>
      </c>
    </row>
    <row r="151" spans="6:6" x14ac:dyDescent="0.25">
      <c r="F151" t="s">
        <v>71</v>
      </c>
    </row>
    <row r="152" spans="6:6" x14ac:dyDescent="0.25">
      <c r="F152" t="s">
        <v>72</v>
      </c>
    </row>
    <row r="153" spans="6:6" x14ac:dyDescent="0.25">
      <c r="F153" t="s">
        <v>73</v>
      </c>
    </row>
    <row r="154" spans="6:6" x14ac:dyDescent="0.25">
      <c r="F154" t="s">
        <v>74</v>
      </c>
    </row>
    <row r="155" spans="6:6" x14ac:dyDescent="0.25">
      <c r="F155" t="s">
        <v>75</v>
      </c>
    </row>
    <row r="156" spans="6:6" x14ac:dyDescent="0.25">
      <c r="F156" t="s">
        <v>76</v>
      </c>
    </row>
    <row r="157" spans="6:6" x14ac:dyDescent="0.25">
      <c r="F157" t="s">
        <v>77</v>
      </c>
    </row>
    <row r="158" spans="6:6" x14ac:dyDescent="0.25">
      <c r="F158" t="s">
        <v>78</v>
      </c>
    </row>
    <row r="159" spans="6:6" x14ac:dyDescent="0.25">
      <c r="F159" t="s">
        <v>79</v>
      </c>
    </row>
    <row r="160" spans="6:6" x14ac:dyDescent="0.25">
      <c r="F160" t="s">
        <v>80</v>
      </c>
    </row>
    <row r="161" spans="6:6" x14ac:dyDescent="0.25">
      <c r="F161" t="s">
        <v>81</v>
      </c>
    </row>
    <row r="162" spans="6:6" x14ac:dyDescent="0.25">
      <c r="F162" t="s">
        <v>82</v>
      </c>
    </row>
    <row r="163" spans="6:6" x14ac:dyDescent="0.25">
      <c r="F163" t="s">
        <v>83</v>
      </c>
    </row>
    <row r="164" spans="6:6" x14ac:dyDescent="0.25">
      <c r="F164" t="s">
        <v>84</v>
      </c>
    </row>
    <row r="165" spans="6:6" x14ac:dyDescent="0.25">
      <c r="F165" t="s">
        <v>85</v>
      </c>
    </row>
    <row r="166" spans="6:6" x14ac:dyDescent="0.25">
      <c r="F166" t="s">
        <v>86</v>
      </c>
    </row>
    <row r="167" spans="6:6" x14ac:dyDescent="0.25">
      <c r="F167" t="s">
        <v>87</v>
      </c>
    </row>
    <row r="168" spans="6:6" x14ac:dyDescent="0.25">
      <c r="F168" t="s">
        <v>88</v>
      </c>
    </row>
    <row r="169" spans="6:6" x14ac:dyDescent="0.25">
      <c r="F169" t="s">
        <v>89</v>
      </c>
    </row>
    <row r="170" spans="6:6" x14ac:dyDescent="0.25">
      <c r="F170" t="s">
        <v>90</v>
      </c>
    </row>
    <row r="171" spans="6:6" x14ac:dyDescent="0.25">
      <c r="F171" t="s">
        <v>91</v>
      </c>
    </row>
    <row r="172" spans="6:6" x14ac:dyDescent="0.25">
      <c r="F172" t="s">
        <v>92</v>
      </c>
    </row>
    <row r="173" spans="6:6" x14ac:dyDescent="0.25">
      <c r="F173" t="s">
        <v>93</v>
      </c>
    </row>
    <row r="174" spans="6:6" x14ac:dyDescent="0.25">
      <c r="F174" t="s">
        <v>94</v>
      </c>
    </row>
    <row r="175" spans="6:6" x14ac:dyDescent="0.25">
      <c r="F175" t="s">
        <v>95</v>
      </c>
    </row>
    <row r="176" spans="6:6" x14ac:dyDescent="0.25">
      <c r="F176" t="s">
        <v>96</v>
      </c>
    </row>
    <row r="177" spans="6:6" x14ac:dyDescent="0.25">
      <c r="F177" t="s">
        <v>97</v>
      </c>
    </row>
    <row r="178" spans="6:6" x14ac:dyDescent="0.25">
      <c r="F178" t="s">
        <v>98</v>
      </c>
    </row>
    <row r="179" spans="6:6" x14ac:dyDescent="0.25">
      <c r="F179" t="s">
        <v>99</v>
      </c>
    </row>
    <row r="180" spans="6:6" x14ac:dyDescent="0.25">
      <c r="F180" t="s">
        <v>100</v>
      </c>
    </row>
    <row r="181" spans="6:6" x14ac:dyDescent="0.25">
      <c r="F181" t="s">
        <v>101</v>
      </c>
    </row>
    <row r="182" spans="6:6" x14ac:dyDescent="0.25">
      <c r="F182" t="s">
        <v>102</v>
      </c>
    </row>
    <row r="183" spans="6:6" x14ac:dyDescent="0.25">
      <c r="F183" t="s">
        <v>103</v>
      </c>
    </row>
    <row r="184" spans="6:6" x14ac:dyDescent="0.25">
      <c r="F184" t="s">
        <v>104</v>
      </c>
    </row>
    <row r="185" spans="6:6" x14ac:dyDescent="0.25">
      <c r="F185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3C231-A098-4ED2-9400-088D9AB5B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p3_data (2)</vt:lpstr>
      <vt:lpstr>p3_data</vt:lpstr>
      <vt:lpstr>Sheet1</vt:lpstr>
      <vt:lpstr>Sheet2</vt:lpstr>
      <vt:lpstr>Sheet3</vt:lpstr>
      <vt:lpstr>Sheet4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Kantner, Netsanet R</dc:creator>
  <cp:lastModifiedBy>Kantner, Netsanet R</cp:lastModifiedBy>
  <dcterms:created xsi:type="dcterms:W3CDTF">2026-10-05T04:58:33Z</dcterms:created>
  <dcterms:modified xsi:type="dcterms:W3CDTF">2026-10-15T07:30:52Z</dcterms:modified>
</cp:coreProperties>
</file>